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sumen" sheetId="1" state="visible" r:id="rId3"/>
    <sheet name="1_Calibracion_GRASP" sheetId="2" state="visible" r:id="rId4"/>
    <sheet name="2_Calib_GRASP_Runs" sheetId="3" state="visible" r:id="rId5"/>
    <sheet name="3_Calibracion_GRASP+BT" sheetId="4" state="visible" r:id="rId6"/>
    <sheet name="4_Calib_GRASP+BT_Runs" sheetId="5" state="visible" r:id="rId7"/>
    <sheet name="5_Comparacion" sheetId="6" state="visible" r:id="rId8"/>
    <sheet name="6_Comparacion_Runs" sheetId="7" state="visible" r:id="rId9"/>
    <sheet name="7_Tests_Estadistico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<sst xmlns="http://schemas.openxmlformats.org/spreadsheetml/2006/main" count="2808" uniqueCount="136">
  <si>
    <t xml:space="preserve">RESUMEN EJECUTIVO – GRASP vs GRASP + Búsqueda Tabú (MDG)</t>
  </si>
  <si>
    <t xml:space="preserve">HOJAS DEL LIBRO</t>
  </si>
  <si>
    <t xml:space="preserve">Concepto</t>
  </si>
  <si>
    <t xml:space="preserve">Descripción</t>
  </si>
  <si>
    <t xml:space="preserve">0_Resumen</t>
  </si>
  <si>
    <t xml:space="preserve">Esta hoja – visión global del proyecto</t>
  </si>
  <si>
    <t xml:space="preserve">1_Calibracion_GRASP</t>
  </si>
  <si>
    <t xml:space="preserve">Calibración del parámetro alfa en GRASP (con fórmulas de resumen)</t>
  </si>
  <si>
    <t xml:space="preserve">2_Calib_GRASP_Runs</t>
  </si>
  <si>
    <t xml:space="preserve">Detalle de cada ejecución individual en calibración GRASP</t>
  </si>
  <si>
    <t xml:space="preserve">3_Calibracion_GRASP+BT</t>
  </si>
  <si>
    <t xml:space="preserve">Calibración de alfa y tamaño de lista tabú en GRASP+BT (con fórmulas)</t>
  </si>
  <si>
    <t xml:space="preserve">4_Calib_GRASP+BT_Runs</t>
  </si>
  <si>
    <t xml:space="preserve">Detalle de cada ejecución individual en calibración GRASP+BT</t>
  </si>
  <si>
    <t xml:space="preserve">5_Comparacion</t>
  </si>
  <si>
    <t xml:space="preserve">Comparación GRASP vs BT: medias Y mejores valores encontrados</t>
  </si>
  <si>
    <t xml:space="preserve">6_Comparacion_Runs</t>
  </si>
  <si>
    <t xml:space="preserve">Detalle de cada ejecución en la fase de comparación</t>
  </si>
  <si>
    <t xml:space="preserve">7_Tests_Estadisticos</t>
  </si>
  <si>
    <t xml:space="preserve">Test de Wilcoxon + análisis de mejores valores por instancia</t>
  </si>
  <si>
    <t xml:space="preserve">PARÁMETROS CALIBRADOS</t>
  </si>
  <si>
    <t xml:space="preserve">Alfa GRASP (small/large)</t>
  </si>
  <si>
    <t xml:space="preserve">0.1</t>
  </si>
  <si>
    <t xml:space="preserve">Alfa GRASP+BT (small/large)</t>
  </si>
  <si>
    <t xml:space="preserve">0.25</t>
  </si>
  <si>
    <t xml:space="preserve">Tamaño lista tabú (small/large)</t>
  </si>
  <si>
    <t xml:space="preserve">15</t>
  </si>
  <si>
    <t xml:space="preserve">HALLAZGOS CLAVE</t>
  </si>
  <si>
    <t xml:space="preserve">Instancias SMALL (n=100)</t>
  </si>
  <si>
    <t xml:space="preserve">Empate total: ambos alcanzan el óptimo en el 100% de ejecuciones</t>
  </si>
  <si>
    <t xml:space="preserve">Medias – Instancias LARGE</t>
  </si>
  <si>
    <t xml:space="preserve">GRASP supera a GRASP+BT en media (30 victorias vs 15; ΔMedia=−25.13; p=0.0026)</t>
  </si>
  <si>
    <t xml:space="preserve">Mejores – Instancias LARGE</t>
  </si>
  <si>
    <t xml:space="preserve">GRASP+BT alcanza el óptimo conocido en más instancias (7 vs 2 aprox.)</t>
  </si>
  <si>
    <t xml:space="preserve">Conclusión</t>
  </si>
  <si>
    <t xml:space="preserve">Disociación robustez vs intensificación: GRASP es más consistente; BT puede encontrar mejores óptimos puntuales</t>
  </si>
  <si>
    <t xml:space="preserve">Grupo</t>
  </si>
  <si>
    <t xml:space="preserve">Instancia</t>
  </si>
  <si>
    <t xml:space="preserve">Alpha</t>
  </si>
  <si>
    <t xml:space="preserve">Media OF</t>
  </si>
  <si>
    <t xml:space="preserve">Mejor OF</t>
  </si>
  <si>
    <t xml:space="preserve">Peor OF</t>
  </si>
  <si>
    <t xml:space="preserve">Desv. Típica</t>
  </si>
  <si>
    <t xml:space="preserve">Tiempo medio (s)</t>
  </si>
  <si>
    <t xml:space="preserve">Dev. media (%)</t>
  </si>
  <si>
    <t xml:space="preserve">SMALL</t>
  </si>
  <si>
    <t xml:space="preserve">MDG-a_1_100_m10.txt</t>
  </si>
  <si>
    <t xml:space="preserve">MDG-a_4_100_m10.txt</t>
  </si>
  <si>
    <t xml:space="preserve">MDG-a_10_100_m10.txt</t>
  </si>
  <si>
    <t xml:space="preserve">MDG-a_12_100_m10.txt</t>
  </si>
  <si>
    <t xml:space="preserve">MDG-a_14_100_m10.txt</t>
  </si>
  <si>
    <t xml:space="preserve">Aleatorio</t>
  </si>
  <si>
    <t xml:space="preserve">LARGE</t>
  </si>
  <si>
    <t xml:space="preserve">MDG-a_2_n500_m50.txt</t>
  </si>
  <si>
    <t xml:space="preserve">MDG-a_5_n500_m50.txt</t>
  </si>
  <si>
    <t xml:space="preserve">MDG-a_6_n500_m50.txt</t>
  </si>
  <si>
    <t xml:space="preserve">MDG-a_9_n500_m50.txt</t>
  </si>
  <si>
    <t xml:space="preserve">MDG-a_13_n500_m50.txt</t>
  </si>
  <si>
    <t xml:space="preserve">RESUMEN</t>
  </si>
  <si>
    <t xml:space="preserve">Media global OF</t>
  </si>
  <si>
    <t xml:space="preserve">Mejor OF global</t>
  </si>
  <si>
    <t xml:space="preserve">Peor OF global</t>
  </si>
  <si>
    <t xml:space="preserve">Desv. Típica media</t>
  </si>
  <si>
    <t xml:space="preserve">Dev. media global (%)</t>
  </si>
  <si>
    <t xml:space="preserve">Run</t>
  </si>
  <si>
    <t xml:space="preserve">Semilla</t>
  </si>
  <si>
    <t xml:space="preserve">OF</t>
  </si>
  <si>
    <t xml:space="preserve">Tiempo (s)</t>
  </si>
  <si>
    <t xml:space="preserve">Fase</t>
  </si>
  <si>
    <t xml:space="preserve">Tam. Lista Tabú</t>
  </si>
  <si>
    <t xml:space="preserve">alpha_sweep</t>
  </si>
  <si>
    <t xml:space="preserve">tenure_sweep</t>
  </si>
  <si>
    <t xml:space="preserve">Mejor
Conocido</t>
  </si>
  <si>
    <t xml:space="preserve">Alpha
GRASP</t>
  </si>
  <si>
    <t xml:space="preserve">Alpha
GRASP+BT</t>
  </si>
  <si>
    <t xml:space="preserve">Tam.
Lista Tabú</t>
  </si>
  <si>
    <t xml:space="preserve">COMPARACIÓN DE MEDIAS (avg OF)</t>
  </si>
  <si>
    <t xml:space="preserve">COMPARACIÓN DE MEJORES VALORES (best OF)</t>
  </si>
  <si>
    <t xml:space="preserve">GRASP</t>
  </si>
  <si>
    <t xml:space="preserve">GRASP + Búsqueda Tabú</t>
  </si>
  <si>
    <t xml:space="preserve">Diferencia (BT − GRASP)</t>
  </si>
  <si>
    <t xml:space="preserve">Mejor encontrado</t>
  </si>
  <si>
    <t xml:space="preserve">Desv.Típ.</t>
  </si>
  <si>
    <t xml:space="preserve">Tiempo(s)</t>
  </si>
  <si>
    <t xml:space="preserve">ΔMedia</t>
  </si>
  <si>
    <t xml:space="preserve">Δ%</t>
  </si>
  <si>
    <t xml:space="preserve">Resultado
medias</t>
  </si>
  <si>
    <t xml:space="preserve">Resultado
mejor</t>
  </si>
  <si>
    <t xml:space="preserve">#Alcanza
Óptimo</t>
  </si>
  <si>
    <t xml:space="preserve">Dev.
Óptimo(%)</t>
  </si>
  <si>
    <t xml:space="preserve">ΔMejor
(BT−GRASP)</t>
  </si>
  <si>
    <t xml:space="preserve">Quién
encontró
elmejor</t>
  </si>
  <si>
    <t xml:space="preserve">¿BT alcanza
óptimo
conocido?</t>
  </si>
  <si>
    <t xml:space="preserve">MDG-a_20_100_m10.txt</t>
  </si>
  <si>
    <t xml:space="preserve">MDG-a_16_n500_m50.txt</t>
  </si>
  <si>
    <t xml:space="preserve">MDG-a_17_n500_m50.txt</t>
  </si>
  <si>
    <t xml:space="preserve">MDG-a_19_n500_m50.txt</t>
  </si>
  <si>
    <t xml:space="preserve">MDG-a_20_n500_m50.txt</t>
  </si>
  <si>
    <t xml:space="preserve">TOTALES / MEDIAS</t>
  </si>
  <si>
    <t xml:space="preserve">Algoritmo</t>
  </si>
  <si>
    <t xml:space="preserve">—</t>
  </si>
  <si>
    <t xml:space="preserve">GRASP+TS</t>
  </si>
  <si>
    <t xml:space="preserve">RESUMEN POR ALGORITMO</t>
  </si>
  <si>
    <t xml:space="preserve">Análisis Estadístico – Test de Wilcoxon (GRASP vs GRASP + Búsqueda Tabú)</t>
  </si>
  <si>
    <t xml:space="preserve">Contraste de hipótesis – Diferencia de medias por grupo de instancias</t>
  </si>
  <si>
    <t xml:space="preserve">N pares</t>
  </si>
  <si>
    <t xml:space="preserve">Victorias GRASP</t>
  </si>
  <si>
    <t xml:space="preserve">Victorias BT</t>
  </si>
  <si>
    <t xml:space="preserve">Empates</t>
  </si>
  <si>
    <t xml:space="preserve">ΔMedia (BT−GRASP)</t>
  </si>
  <si>
    <t xml:space="preserve">Estadístico W</t>
  </si>
  <si>
    <t xml:space="preserve">p-valor</t>
  </si>
  <si>
    <t xml:space="preserve">GLOBAL</t>
  </si>
  <si>
    <t xml:space="preserve">Significativo (p&lt;0.05) → GRASP estadísticamente superior a BT</t>
  </si>
  <si>
    <t xml:space="preserve">SMALL (n=100)</t>
  </si>
  <si>
    <t xml:space="preserve">Test omitido: todos los pares empatan (ambos alcanzan el óptimo)</t>
  </si>
  <si>
    <t xml:space="preserve">LARGE (n=500)</t>
  </si>
  <si>
    <t xml:space="preserve">Comparación de mejores valores encontrados (best OF) – análisis por instancia</t>
  </si>
  <si>
    <t xml:space="preserve">Mejor conocido</t>
  </si>
  <si>
    <t xml:space="preserve">Best GRASP</t>
  </si>
  <si>
    <t xml:space="preserve">Best BT</t>
  </si>
  <si>
    <t xml:space="preserve">ΔBest
(BT−GRASP)</t>
  </si>
  <si>
    <t xml:space="preserve">GRASP
alcanza óptimo</t>
  </si>
  <si>
    <t xml:space="preserve">BT
alcanza óptimo</t>
  </si>
  <si>
    <t xml:space="preserve">Ventaja</t>
  </si>
  <si>
    <t xml:space="preserve">Sí ✓</t>
  </si>
  <si>
    <t xml:space="preserve">Empate</t>
  </si>
  <si>
    <t xml:space="preserve">No</t>
  </si>
  <si>
    <t xml:space="preserve">BT mejor</t>
  </si>
  <si>
    <t xml:space="preserve">GRASP mejor</t>
  </si>
  <si>
    <t xml:space="preserve">TOTALES</t>
  </si>
  <si>
    <t xml:space="preserve">Interpretación conjunta</t>
  </si>
  <si>
    <t xml:space="preserve">• MEDIAS: GRASP supera a GRASP+BT en media en las instancias LARGE (ΔMedia = −25.13; p=0.0026 &lt; 0.05). En instancias SMALL ambos alcanzan el óptimo en todas las ejecuciones → empate estadístico.</t>
  </si>
  <si>
    <t xml:space="preserve">• MEJORES VALORES: La Búsqueda Tabú consigue alcanzar el óptimo conocido en varias instancias LARGE donde GRASP no lo logra (p.ej. instancias 2, 5, 9, 13, 17, 19, 20). Esto indica que BT tiene mayor capacidad de intensificación local puntual.</t>
  </si>
  <si>
    <t xml:space="preserve">• CONCLUSIÓN: Existe una disociación entre consistencia y capacidad de alcanzar el óptimo. GRASP es más robusto en media (mejor OF promedio), pero GRASP+BT puede encontrar mejores soluciones individuales gracias a la fase de intensificación tabú, a costa de menor consistencia.</t>
  </si>
  <si>
    <t xml:space="preserve">• HIPÓTESIS: El overhead temporal de la Búsqueda Tabú reduce el número de iteraciones GRASP dentro del presupuesto fijo, degradando la media pero permitiendo exploraciones más profundas en algunas ejecuciones que alcanzan el óptimo global.</t>
  </si>
</sst>
</file>

<file path=xl/styles.xml><?xml version="1.0" encoding="utf-8"?>
<styleSheet xmlns="http://schemas.openxmlformats.org/spreadsheetml/2006/main">
  <numFmts count="10">
    <numFmt numFmtId="164" formatCode="General"/>
    <numFmt numFmtId="165" formatCode="#,##0.00"/>
    <numFmt numFmtId="166" formatCode="#,##0.000"/>
    <numFmt numFmtId="167" formatCode="0.00%"/>
    <numFmt numFmtId="168" formatCode="\+#,##0.00;\-#,##0.00;0.00"/>
    <numFmt numFmtId="169" formatCode="\+0.00%;\-0.00%;0.00%"/>
    <numFmt numFmtId="170" formatCode="0"/>
    <numFmt numFmtId="171" formatCode="\+#,##0.000;\-#,##0.000;0.000"/>
    <numFmt numFmtId="172" formatCode="0.0000"/>
    <numFmt numFmtId="173" formatCode="0&quot; instancias&quot;"/>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b val="true"/>
      <sz val="10"/>
      <color rgb="FFFFFFFF"/>
      <name val="Arial"/>
      <family val="0"/>
      <charset val="1"/>
    </font>
    <font>
      <sz val="10"/>
      <name val="Arial"/>
      <family val="0"/>
      <charset val="1"/>
    </font>
    <font>
      <b val="true"/>
      <sz val="13"/>
      <color rgb="FFFFFFFF"/>
      <name val="Arial"/>
      <family val="0"/>
      <charset val="1"/>
    </font>
    <font>
      <i val="true"/>
      <sz val="10"/>
      <name val="Arial"/>
      <family val="0"/>
      <charset val="1"/>
    </font>
  </fonts>
  <fills count="14">
    <fill>
      <patternFill patternType="none"/>
    </fill>
    <fill>
      <patternFill patternType="gray125"/>
    </fill>
    <fill>
      <patternFill patternType="solid">
        <fgColor rgb="FF1F4E79"/>
        <bgColor rgb="FF1A3A5C"/>
      </patternFill>
    </fill>
    <fill>
      <patternFill patternType="solid">
        <fgColor rgb="FFBDD7EE"/>
        <bgColor rgb="FFD6E4F0"/>
      </patternFill>
    </fill>
    <fill>
      <patternFill patternType="solid">
        <fgColor rgb="FF2E75B6"/>
        <bgColor rgb="FF0066CC"/>
      </patternFill>
    </fill>
    <fill>
      <patternFill patternType="solid">
        <fgColor rgb="FFD6E4F0"/>
        <bgColor rgb="FFE2EFDA"/>
      </patternFill>
    </fill>
    <fill>
      <patternFill patternType="solid">
        <fgColor rgb="FF1A3A5C"/>
        <bgColor rgb="FF1F4E79"/>
      </patternFill>
    </fill>
    <fill>
      <patternFill patternType="solid">
        <fgColor rgb="FF4A235A"/>
        <bgColor rgb="FF660066"/>
      </patternFill>
    </fill>
    <fill>
      <patternFill patternType="solid">
        <fgColor rgb="FF375623"/>
        <bgColor rgb="FF1F4E79"/>
      </patternFill>
    </fill>
    <fill>
      <patternFill patternType="solid">
        <fgColor rgb="FF7B2C2C"/>
        <bgColor rgb="FF993366"/>
      </patternFill>
    </fill>
    <fill>
      <patternFill patternType="solid">
        <fgColor rgb="FFE2EFDA"/>
        <bgColor rgb="FFD6E4F0"/>
      </patternFill>
    </fill>
    <fill>
      <patternFill patternType="solid">
        <fgColor rgb="FFFFEB9C"/>
        <bgColor rgb="FFE2EFDA"/>
      </patternFill>
    </fill>
    <fill>
      <patternFill patternType="solid">
        <fgColor rgb="FFC6EFCE"/>
        <bgColor rgb="FFE2EFDA"/>
      </patternFill>
    </fill>
    <fill>
      <patternFill patternType="solid">
        <fgColor rgb="FFFFC7CE"/>
        <bgColor rgb="FFFFEB9C"/>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righ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6" fontId="7" fillId="5" borderId="1" xfId="0" applyFont="true" applyBorder="true" applyAlignment="true" applyProtection="false">
      <alignment horizontal="right" vertical="center" textRotation="0" wrapText="false" indent="0" shrinkToFit="false"/>
      <protection locked="true" hidden="false"/>
    </xf>
    <xf numFmtId="167" fontId="7" fillId="5"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7" fillId="3" borderId="1" xfId="0" applyFont="true" applyBorder="true" applyAlignment="true" applyProtection="false">
      <alignment horizontal="right" vertical="center" textRotation="0" wrapText="false" indent="0" shrinkToFit="false"/>
      <protection locked="true" hidden="false"/>
    </xf>
    <xf numFmtId="167" fontId="7" fillId="3" borderId="1" xfId="0" applyFont="true" applyBorder="tru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8" borderId="0" xfId="0" applyFont="true" applyBorder="true" applyAlignment="true" applyProtection="false">
      <alignment horizontal="center" vertical="center" textRotation="0" wrapText="true" indent="0" shrinkToFit="false"/>
      <protection locked="true" hidden="false"/>
    </xf>
    <xf numFmtId="164" fontId="6" fillId="9" borderId="0"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8" fontId="7" fillId="5" borderId="1" xfId="0" applyFont="true" applyBorder="true" applyAlignment="true" applyProtection="false">
      <alignment horizontal="right" vertical="center" textRotation="0" wrapText="false" indent="0" shrinkToFit="false"/>
      <protection locked="true" hidden="false"/>
    </xf>
    <xf numFmtId="169" fontId="7" fillId="5" borderId="1" xfId="0" applyFont="true" applyBorder="true" applyAlignment="true" applyProtection="false">
      <alignment horizontal="right"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8" fontId="7" fillId="11" borderId="1" xfId="0" applyFont="true" applyBorder="true" applyAlignment="true" applyProtection="false">
      <alignment horizontal="right"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68" fontId="7" fillId="12" borderId="1" xfId="0" applyFont="true" applyBorder="true" applyAlignment="true" applyProtection="false">
      <alignment horizontal="right" vertical="center" textRotation="0" wrapText="fals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8" fontId="7" fillId="13" borderId="1" xfId="0" applyFont="true" applyBorder="true" applyAlignment="true" applyProtection="false">
      <alignment horizontal="right"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5" fontId="5" fillId="3" borderId="1" xfId="0" applyFont="true" applyBorder="true" applyAlignment="true" applyProtection="false">
      <alignment horizontal="center" vertical="center" textRotation="0" wrapText="true" indent="0" shrinkToFit="false"/>
      <protection locked="true" hidden="false"/>
    </xf>
    <xf numFmtId="166" fontId="5" fillId="3" borderId="1" xfId="0" applyFont="true" applyBorder="true" applyAlignment="true" applyProtection="false">
      <alignment horizontal="center" vertical="center" textRotation="0" wrapText="true" indent="0" shrinkToFit="false"/>
      <protection locked="true" hidden="false"/>
    </xf>
    <xf numFmtId="168" fontId="5" fillId="3" borderId="1" xfId="0" applyFont="true" applyBorder="true" applyAlignment="true" applyProtection="false">
      <alignment horizontal="center" vertical="center" textRotation="0" wrapText="true" indent="0" shrinkToFit="false"/>
      <protection locked="true" hidden="false"/>
    </xf>
    <xf numFmtId="169" fontId="5" fillId="3" borderId="1" xfId="0" applyFont="true" applyBorder="true" applyAlignment="true" applyProtection="false">
      <alignment horizontal="center" vertical="center" textRotation="0" wrapText="true" indent="0" shrinkToFit="false"/>
      <protection locked="true" hidden="false"/>
    </xf>
    <xf numFmtId="170" fontId="5" fillId="3"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71" fontId="7" fillId="0" borderId="1" xfId="0" applyFont="true" applyBorder="true" applyAlignment="true" applyProtection="false">
      <alignment horizontal="right" vertical="center" textRotation="0" wrapText="false" indent="0" shrinkToFit="false"/>
      <protection locked="true" hidden="false"/>
    </xf>
    <xf numFmtId="172" fontId="7" fillId="0" borderId="1" xfId="0" applyFont="true" applyBorder="true" applyAlignment="true" applyProtection="false">
      <alignment horizontal="center" vertical="center" textRotation="0" wrapText="true" indent="0" shrinkToFit="false"/>
      <protection locked="true" hidden="false"/>
    </xf>
    <xf numFmtId="164" fontId="5" fillId="13"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71" fontId="7" fillId="5" borderId="1" xfId="0" applyFont="true" applyBorder="true" applyAlignment="true" applyProtection="false">
      <alignment horizontal="right" vertical="center" textRotation="0" wrapText="fals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5" fontId="5" fillId="3" borderId="1" xfId="0" applyFont="true" applyBorder="true" applyAlignment="true" applyProtection="false">
      <alignment horizontal="right" vertical="center" textRotation="0" wrapText="false" indent="0" shrinkToFit="false"/>
      <protection locked="true" hidden="false"/>
    </xf>
    <xf numFmtId="168" fontId="5" fillId="3" borderId="1" xfId="0" applyFont="true" applyBorder="true" applyAlignment="true" applyProtection="false">
      <alignment horizontal="right" vertical="center" textRotation="0" wrapText="false" indent="0" shrinkToFit="false"/>
      <protection locked="true" hidden="false"/>
    </xf>
    <xf numFmtId="173" fontId="5" fillId="3" borderId="1"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1A3A5C"/>
      <rgbColor rgb="FF339966"/>
      <rgbColor rgb="FF003300"/>
      <rgbColor rgb="FF375623"/>
      <rgbColor rgb="FF7B2C2C"/>
      <rgbColor rgb="FF993366"/>
      <rgbColor rgb="FF1F4E79"/>
      <rgbColor rgb="FF4A23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6" min="2" style="0" width="20"/>
  </cols>
  <sheetData>
    <row r="1" customFormat="false" ht="36" hidden="false" customHeight="true" outlineLevel="0" collapsed="false">
      <c r="A1" s="1" t="s">
        <v>0</v>
      </c>
      <c r="B1" s="1"/>
      <c r="C1" s="1"/>
      <c r="D1" s="1"/>
      <c r="E1" s="1"/>
      <c r="F1" s="1"/>
    </row>
    <row r="3" customFormat="false" ht="21.75" hidden="false" customHeight="true" outlineLevel="0" collapsed="false">
      <c r="A3" s="2" t="s">
        <v>1</v>
      </c>
      <c r="B3" s="2"/>
      <c r="C3" s="2"/>
      <c r="D3" s="2"/>
      <c r="E3" s="2"/>
      <c r="F3" s="2"/>
    </row>
    <row r="4" customFormat="false" ht="15" hidden="false" customHeight="true" outlineLevel="0" collapsed="false">
      <c r="A4" s="3" t="s">
        <v>2</v>
      </c>
      <c r="B4" s="4" t="s">
        <v>3</v>
      </c>
      <c r="C4" s="4"/>
      <c r="D4" s="4"/>
      <c r="E4" s="4"/>
      <c r="F4" s="4"/>
    </row>
    <row r="5" customFormat="false" ht="30" hidden="false" customHeight="true" outlineLevel="0" collapsed="false">
      <c r="A5" s="5" t="s">
        <v>4</v>
      </c>
      <c r="B5" s="6" t="s">
        <v>5</v>
      </c>
      <c r="C5" s="6"/>
      <c r="D5" s="6"/>
      <c r="E5" s="6"/>
      <c r="F5" s="6"/>
    </row>
    <row r="6" customFormat="false" ht="30" hidden="false" customHeight="true" outlineLevel="0" collapsed="false">
      <c r="A6" s="7" t="s">
        <v>6</v>
      </c>
      <c r="B6" s="8" t="s">
        <v>7</v>
      </c>
      <c r="C6" s="8"/>
      <c r="D6" s="8"/>
      <c r="E6" s="8"/>
      <c r="F6" s="8"/>
    </row>
    <row r="7" customFormat="false" ht="30" hidden="false" customHeight="true" outlineLevel="0" collapsed="false">
      <c r="A7" s="5" t="s">
        <v>8</v>
      </c>
      <c r="B7" s="6" t="s">
        <v>9</v>
      </c>
      <c r="C7" s="6"/>
      <c r="D7" s="6"/>
      <c r="E7" s="6"/>
      <c r="F7" s="6"/>
    </row>
    <row r="8" customFormat="false" ht="30" hidden="false" customHeight="true" outlineLevel="0" collapsed="false">
      <c r="A8" s="7" t="s">
        <v>10</v>
      </c>
      <c r="B8" s="8" t="s">
        <v>11</v>
      </c>
      <c r="C8" s="8"/>
      <c r="D8" s="8"/>
      <c r="E8" s="8"/>
      <c r="F8" s="8"/>
    </row>
    <row r="9" customFormat="false" ht="30" hidden="false" customHeight="true" outlineLevel="0" collapsed="false">
      <c r="A9" s="5" t="s">
        <v>12</v>
      </c>
      <c r="B9" s="6" t="s">
        <v>13</v>
      </c>
      <c r="C9" s="6"/>
      <c r="D9" s="6"/>
      <c r="E9" s="6"/>
      <c r="F9" s="6"/>
    </row>
    <row r="10" customFormat="false" ht="30" hidden="false" customHeight="true" outlineLevel="0" collapsed="false">
      <c r="A10" s="7" t="s">
        <v>14</v>
      </c>
      <c r="B10" s="8" t="s">
        <v>15</v>
      </c>
      <c r="C10" s="8"/>
      <c r="D10" s="8"/>
      <c r="E10" s="8"/>
      <c r="F10" s="8"/>
    </row>
    <row r="11" customFormat="false" ht="30" hidden="false" customHeight="true" outlineLevel="0" collapsed="false">
      <c r="A11" s="5" t="s">
        <v>16</v>
      </c>
      <c r="B11" s="6" t="s">
        <v>17</v>
      </c>
      <c r="C11" s="6"/>
      <c r="D11" s="6"/>
      <c r="E11" s="6"/>
      <c r="F11" s="6"/>
    </row>
    <row r="12" customFormat="false" ht="30" hidden="false" customHeight="true" outlineLevel="0" collapsed="false">
      <c r="A12" s="7" t="s">
        <v>18</v>
      </c>
      <c r="B12" s="8" t="s">
        <v>19</v>
      </c>
      <c r="C12" s="8"/>
      <c r="D12" s="8"/>
      <c r="E12" s="8"/>
      <c r="F12" s="8"/>
    </row>
    <row r="14" customFormat="false" ht="21.75" hidden="false" customHeight="true" outlineLevel="0" collapsed="false">
      <c r="A14" s="2" t="s">
        <v>20</v>
      </c>
      <c r="B14" s="2"/>
      <c r="C14" s="2"/>
      <c r="D14" s="2"/>
      <c r="E14" s="2"/>
      <c r="F14" s="2"/>
    </row>
    <row r="15" customFormat="false" ht="15" hidden="false" customHeight="true" outlineLevel="0" collapsed="false">
      <c r="A15" s="3" t="s">
        <v>2</v>
      </c>
      <c r="B15" s="4" t="s">
        <v>3</v>
      </c>
      <c r="C15" s="4"/>
      <c r="D15" s="4"/>
      <c r="E15" s="4"/>
      <c r="F15" s="4"/>
    </row>
    <row r="16" customFormat="false" ht="30" hidden="false" customHeight="true" outlineLevel="0" collapsed="false">
      <c r="A16" s="7" t="s">
        <v>21</v>
      </c>
      <c r="B16" s="8" t="s">
        <v>22</v>
      </c>
      <c r="C16" s="8"/>
      <c r="D16" s="8"/>
      <c r="E16" s="8"/>
      <c r="F16" s="8"/>
    </row>
    <row r="17" customFormat="false" ht="30" hidden="false" customHeight="true" outlineLevel="0" collapsed="false">
      <c r="A17" s="5" t="s">
        <v>23</v>
      </c>
      <c r="B17" s="6" t="s">
        <v>24</v>
      </c>
      <c r="C17" s="6"/>
      <c r="D17" s="6"/>
      <c r="E17" s="6"/>
      <c r="F17" s="6"/>
    </row>
    <row r="18" customFormat="false" ht="30" hidden="false" customHeight="true" outlineLevel="0" collapsed="false">
      <c r="A18" s="7" t="s">
        <v>25</v>
      </c>
      <c r="B18" s="8" t="s">
        <v>26</v>
      </c>
      <c r="C18" s="8"/>
      <c r="D18" s="8"/>
      <c r="E18" s="8"/>
      <c r="F18" s="8"/>
    </row>
    <row r="20" customFormat="false" ht="21.75" hidden="false" customHeight="true" outlineLevel="0" collapsed="false">
      <c r="A20" s="2" t="s">
        <v>27</v>
      </c>
      <c r="B20" s="2"/>
      <c r="C20" s="2"/>
      <c r="D20" s="2"/>
      <c r="E20" s="2"/>
      <c r="F20" s="2"/>
    </row>
    <row r="21" customFormat="false" ht="15" hidden="false" customHeight="true" outlineLevel="0" collapsed="false">
      <c r="A21" s="3" t="s">
        <v>2</v>
      </c>
      <c r="B21" s="4" t="s">
        <v>3</v>
      </c>
      <c r="C21" s="4"/>
      <c r="D21" s="4"/>
      <c r="E21" s="4"/>
      <c r="F21" s="4"/>
    </row>
    <row r="22" customFormat="false" ht="30" hidden="false" customHeight="true" outlineLevel="0" collapsed="false">
      <c r="A22" s="7" t="s">
        <v>28</v>
      </c>
      <c r="B22" s="8" t="s">
        <v>29</v>
      </c>
      <c r="C22" s="8"/>
      <c r="D22" s="8"/>
      <c r="E22" s="8"/>
      <c r="F22" s="8"/>
    </row>
    <row r="23" customFormat="false" ht="30" hidden="false" customHeight="true" outlineLevel="0" collapsed="false">
      <c r="A23" s="5" t="s">
        <v>30</v>
      </c>
      <c r="B23" s="6" t="s">
        <v>31</v>
      </c>
      <c r="C23" s="6"/>
      <c r="D23" s="6"/>
      <c r="E23" s="6"/>
      <c r="F23" s="6"/>
    </row>
    <row r="24" customFormat="false" ht="30" hidden="false" customHeight="true" outlineLevel="0" collapsed="false">
      <c r="A24" s="7" t="s">
        <v>32</v>
      </c>
      <c r="B24" s="8" t="s">
        <v>33</v>
      </c>
      <c r="C24" s="8"/>
      <c r="D24" s="8"/>
      <c r="E24" s="8"/>
      <c r="F24" s="8"/>
    </row>
    <row r="25" customFormat="false" ht="30" hidden="false" customHeight="true" outlineLevel="0" collapsed="false">
      <c r="A25" s="5" t="s">
        <v>34</v>
      </c>
      <c r="B25" s="6" t="s">
        <v>35</v>
      </c>
      <c r="C25" s="6"/>
      <c r="D25" s="6"/>
      <c r="E25" s="6"/>
      <c r="F25" s="6"/>
    </row>
  </sheetData>
  <mergeCells count="22">
    <mergeCell ref="A1:F1"/>
    <mergeCell ref="A3:F3"/>
    <mergeCell ref="B4:F4"/>
    <mergeCell ref="B5:F5"/>
    <mergeCell ref="B6:F6"/>
    <mergeCell ref="B7:F7"/>
    <mergeCell ref="B8:F8"/>
    <mergeCell ref="B9:F9"/>
    <mergeCell ref="B10:F10"/>
    <mergeCell ref="B11:F11"/>
    <mergeCell ref="B12:F12"/>
    <mergeCell ref="A14:F14"/>
    <mergeCell ref="B15:F15"/>
    <mergeCell ref="B16:F16"/>
    <mergeCell ref="B17:F17"/>
    <mergeCell ref="B18:F18"/>
    <mergeCell ref="A20:F20"/>
    <mergeCell ref="B21:F21"/>
    <mergeCell ref="B22:F22"/>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23"/>
    <col collapsed="false" customWidth="true" hidden="false" outlineLevel="0" max="3" min="3" style="0" width="11"/>
    <col collapsed="false" customWidth="true" hidden="false" outlineLevel="0" max="9" min="4" style="0" width="18"/>
  </cols>
  <sheetData>
    <row r="1" customFormat="false" ht="30" hidden="false" customHeight="true" outlineLevel="0" collapsed="false">
      <c r="A1" s="9" t="s">
        <v>36</v>
      </c>
      <c r="B1" s="9" t="s">
        <v>37</v>
      </c>
      <c r="C1" s="9" t="s">
        <v>38</v>
      </c>
      <c r="D1" s="9" t="s">
        <v>39</v>
      </c>
      <c r="E1" s="9" t="s">
        <v>40</v>
      </c>
      <c r="F1" s="9" t="s">
        <v>41</v>
      </c>
      <c r="G1" s="9" t="s">
        <v>42</v>
      </c>
      <c r="H1" s="9" t="s">
        <v>43</v>
      </c>
      <c r="I1" s="9" t="s">
        <v>44</v>
      </c>
    </row>
    <row r="2" customFormat="false" ht="15" hidden="false" customHeight="false" outlineLevel="0" collapsed="false">
      <c r="A2" s="10" t="s">
        <v>45</v>
      </c>
      <c r="B2" s="10" t="s">
        <v>46</v>
      </c>
      <c r="C2" s="10" t="n">
        <v>0.1</v>
      </c>
      <c r="D2" s="11" t="n">
        <v>360.15</v>
      </c>
      <c r="E2" s="11" t="n">
        <v>360.15</v>
      </c>
      <c r="F2" s="11" t="n">
        <v>360.15</v>
      </c>
      <c r="G2" s="11" t="n">
        <v>0</v>
      </c>
      <c r="H2" s="12" t="n">
        <v>10.001</v>
      </c>
      <c r="I2" s="13" t="n">
        <v>0</v>
      </c>
    </row>
    <row r="3" customFormat="false" ht="15" hidden="false" customHeight="false" outlineLevel="0" collapsed="false">
      <c r="A3" s="14" t="s">
        <v>45</v>
      </c>
      <c r="B3" s="14" t="s">
        <v>47</v>
      </c>
      <c r="C3" s="14" t="n">
        <v>0.1</v>
      </c>
      <c r="D3" s="15" t="n">
        <v>355.72</v>
      </c>
      <c r="E3" s="15" t="n">
        <v>355.72</v>
      </c>
      <c r="F3" s="15" t="n">
        <v>355.72</v>
      </c>
      <c r="G3" s="15" t="n">
        <v>0</v>
      </c>
      <c r="H3" s="16" t="n">
        <v>10.002</v>
      </c>
      <c r="I3" s="17" t="n">
        <v>0</v>
      </c>
    </row>
    <row r="4" customFormat="false" ht="15" hidden="false" customHeight="false" outlineLevel="0" collapsed="false">
      <c r="A4" s="10" t="s">
        <v>45</v>
      </c>
      <c r="B4" s="10" t="s">
        <v>48</v>
      </c>
      <c r="C4" s="10" t="n">
        <v>0.1</v>
      </c>
      <c r="D4" s="11" t="n">
        <v>355.5</v>
      </c>
      <c r="E4" s="11" t="n">
        <v>355.5</v>
      </c>
      <c r="F4" s="11" t="n">
        <v>355.5</v>
      </c>
      <c r="G4" s="11" t="n">
        <v>0</v>
      </c>
      <c r="H4" s="12" t="n">
        <v>10.001</v>
      </c>
      <c r="I4" s="13" t="n">
        <v>0</v>
      </c>
    </row>
    <row r="5" customFormat="false" ht="15" hidden="false" customHeight="false" outlineLevel="0" collapsed="false">
      <c r="A5" s="14" t="s">
        <v>45</v>
      </c>
      <c r="B5" s="14" t="s">
        <v>49</v>
      </c>
      <c r="C5" s="14" t="n">
        <v>0.1</v>
      </c>
      <c r="D5" s="15" t="n">
        <v>354.25</v>
      </c>
      <c r="E5" s="15" t="n">
        <v>354.25</v>
      </c>
      <c r="F5" s="15" t="n">
        <v>354.25</v>
      </c>
      <c r="G5" s="15" t="n">
        <v>0</v>
      </c>
      <c r="H5" s="16" t="n">
        <v>10.001</v>
      </c>
      <c r="I5" s="17" t="n">
        <v>0</v>
      </c>
    </row>
    <row r="6" customFormat="false" ht="15" hidden="false" customHeight="false" outlineLevel="0" collapsed="false">
      <c r="A6" s="10" t="s">
        <v>45</v>
      </c>
      <c r="B6" s="10" t="s">
        <v>50</v>
      </c>
      <c r="C6" s="10" t="n">
        <v>0.1</v>
      </c>
      <c r="D6" s="11" t="n">
        <v>356.06</v>
      </c>
      <c r="E6" s="11" t="n">
        <v>356.06</v>
      </c>
      <c r="F6" s="11" t="n">
        <v>356.06</v>
      </c>
      <c r="G6" s="11" t="n">
        <v>0</v>
      </c>
      <c r="H6" s="12" t="n">
        <v>10</v>
      </c>
      <c r="I6" s="13" t="n">
        <v>0</v>
      </c>
    </row>
    <row r="7" customFormat="false" ht="15" hidden="false" customHeight="false" outlineLevel="0" collapsed="false">
      <c r="A7" s="14" t="s">
        <v>45</v>
      </c>
      <c r="B7" s="14" t="s">
        <v>46</v>
      </c>
      <c r="C7" s="14" t="n">
        <v>0.25</v>
      </c>
      <c r="D7" s="15" t="n">
        <v>360.15</v>
      </c>
      <c r="E7" s="15" t="n">
        <v>360.15</v>
      </c>
      <c r="F7" s="15" t="n">
        <v>360.15</v>
      </c>
      <c r="G7" s="15" t="n">
        <v>0</v>
      </c>
      <c r="H7" s="16" t="n">
        <v>10.001</v>
      </c>
      <c r="I7" s="17" t="n">
        <v>0</v>
      </c>
    </row>
    <row r="8" customFormat="false" ht="15" hidden="false" customHeight="false" outlineLevel="0" collapsed="false">
      <c r="A8" s="10" t="s">
        <v>45</v>
      </c>
      <c r="B8" s="10" t="s">
        <v>47</v>
      </c>
      <c r="C8" s="10" t="n">
        <v>0.25</v>
      </c>
      <c r="D8" s="11" t="n">
        <v>355.72</v>
      </c>
      <c r="E8" s="11" t="n">
        <v>355.72</v>
      </c>
      <c r="F8" s="11" t="n">
        <v>355.72</v>
      </c>
      <c r="G8" s="11" t="n">
        <v>0</v>
      </c>
      <c r="H8" s="12" t="n">
        <v>10.002</v>
      </c>
      <c r="I8" s="13" t="n">
        <v>0</v>
      </c>
    </row>
    <row r="9" customFormat="false" ht="15" hidden="false" customHeight="false" outlineLevel="0" collapsed="false">
      <c r="A9" s="14" t="s">
        <v>45</v>
      </c>
      <c r="B9" s="14" t="s">
        <v>48</v>
      </c>
      <c r="C9" s="14" t="n">
        <v>0.25</v>
      </c>
      <c r="D9" s="15" t="n">
        <v>355.5</v>
      </c>
      <c r="E9" s="15" t="n">
        <v>355.5</v>
      </c>
      <c r="F9" s="15" t="n">
        <v>355.5</v>
      </c>
      <c r="G9" s="15" t="n">
        <v>0</v>
      </c>
      <c r="H9" s="16" t="n">
        <v>10.001</v>
      </c>
      <c r="I9" s="17" t="n">
        <v>0</v>
      </c>
    </row>
    <row r="10" customFormat="false" ht="15" hidden="false" customHeight="false" outlineLevel="0" collapsed="false">
      <c r="A10" s="10" t="s">
        <v>45</v>
      </c>
      <c r="B10" s="10" t="s">
        <v>49</v>
      </c>
      <c r="C10" s="10" t="n">
        <v>0.25</v>
      </c>
      <c r="D10" s="11" t="n">
        <v>354.25</v>
      </c>
      <c r="E10" s="11" t="n">
        <v>354.25</v>
      </c>
      <c r="F10" s="11" t="n">
        <v>354.25</v>
      </c>
      <c r="G10" s="11" t="n">
        <v>0</v>
      </c>
      <c r="H10" s="12" t="n">
        <v>10.001</v>
      </c>
      <c r="I10" s="13" t="n">
        <v>0</v>
      </c>
    </row>
    <row r="11" customFormat="false" ht="15" hidden="false" customHeight="false" outlineLevel="0" collapsed="false">
      <c r="A11" s="14" t="s">
        <v>45</v>
      </c>
      <c r="B11" s="14" t="s">
        <v>50</v>
      </c>
      <c r="C11" s="14" t="n">
        <v>0.25</v>
      </c>
      <c r="D11" s="15" t="n">
        <v>356.06</v>
      </c>
      <c r="E11" s="15" t="n">
        <v>356.06</v>
      </c>
      <c r="F11" s="15" t="n">
        <v>356.06</v>
      </c>
      <c r="G11" s="15" t="n">
        <v>0</v>
      </c>
      <c r="H11" s="16" t="n">
        <v>10</v>
      </c>
      <c r="I11" s="17" t="n">
        <v>0</v>
      </c>
    </row>
    <row r="12" customFormat="false" ht="15" hidden="false" customHeight="false" outlineLevel="0" collapsed="false">
      <c r="A12" s="10" t="s">
        <v>45</v>
      </c>
      <c r="B12" s="10" t="s">
        <v>46</v>
      </c>
      <c r="C12" s="10" t="n">
        <v>0.5</v>
      </c>
      <c r="D12" s="11" t="n">
        <v>360.15</v>
      </c>
      <c r="E12" s="11" t="n">
        <v>360.15</v>
      </c>
      <c r="F12" s="11" t="n">
        <v>360.15</v>
      </c>
      <c r="G12" s="11" t="n">
        <v>0</v>
      </c>
      <c r="H12" s="12" t="n">
        <v>10.004</v>
      </c>
      <c r="I12" s="13" t="n">
        <v>0</v>
      </c>
    </row>
    <row r="13" customFormat="false" ht="15" hidden="false" customHeight="false" outlineLevel="0" collapsed="false">
      <c r="A13" s="14" t="s">
        <v>45</v>
      </c>
      <c r="B13" s="14" t="s">
        <v>47</v>
      </c>
      <c r="C13" s="14" t="n">
        <v>0.5</v>
      </c>
      <c r="D13" s="15" t="n">
        <v>355.72</v>
      </c>
      <c r="E13" s="15" t="n">
        <v>355.72</v>
      </c>
      <c r="F13" s="15" t="n">
        <v>355.72</v>
      </c>
      <c r="G13" s="15" t="n">
        <v>0</v>
      </c>
      <c r="H13" s="16" t="n">
        <v>10.002</v>
      </c>
      <c r="I13" s="17" t="n">
        <v>0</v>
      </c>
    </row>
    <row r="14" customFormat="false" ht="15" hidden="false" customHeight="false" outlineLevel="0" collapsed="false">
      <c r="A14" s="10" t="s">
        <v>45</v>
      </c>
      <c r="B14" s="10" t="s">
        <v>48</v>
      </c>
      <c r="C14" s="10" t="n">
        <v>0.5</v>
      </c>
      <c r="D14" s="11" t="n">
        <v>355.5</v>
      </c>
      <c r="E14" s="11" t="n">
        <v>355.5</v>
      </c>
      <c r="F14" s="11" t="n">
        <v>355.5</v>
      </c>
      <c r="G14" s="11" t="n">
        <v>0</v>
      </c>
      <c r="H14" s="12" t="n">
        <v>10.003</v>
      </c>
      <c r="I14" s="13" t="n">
        <v>0</v>
      </c>
    </row>
    <row r="15" customFormat="false" ht="15" hidden="false" customHeight="false" outlineLevel="0" collapsed="false">
      <c r="A15" s="14" t="s">
        <v>45</v>
      </c>
      <c r="B15" s="14" t="s">
        <v>49</v>
      </c>
      <c r="C15" s="14" t="n">
        <v>0.5</v>
      </c>
      <c r="D15" s="15" t="n">
        <v>354.25</v>
      </c>
      <c r="E15" s="15" t="n">
        <v>354.25</v>
      </c>
      <c r="F15" s="15" t="n">
        <v>354.25</v>
      </c>
      <c r="G15" s="15" t="n">
        <v>0</v>
      </c>
      <c r="H15" s="16" t="n">
        <v>10.002</v>
      </c>
      <c r="I15" s="17" t="n">
        <v>0</v>
      </c>
    </row>
    <row r="16" customFormat="false" ht="15" hidden="false" customHeight="false" outlineLevel="0" collapsed="false">
      <c r="A16" s="10" t="s">
        <v>45</v>
      </c>
      <c r="B16" s="10" t="s">
        <v>50</v>
      </c>
      <c r="C16" s="10" t="n">
        <v>0.5</v>
      </c>
      <c r="D16" s="11" t="n">
        <v>356.06</v>
      </c>
      <c r="E16" s="11" t="n">
        <v>356.06</v>
      </c>
      <c r="F16" s="11" t="n">
        <v>356.06</v>
      </c>
      <c r="G16" s="11" t="n">
        <v>0</v>
      </c>
      <c r="H16" s="12" t="n">
        <v>10.002</v>
      </c>
      <c r="I16" s="13" t="n">
        <v>0</v>
      </c>
    </row>
    <row r="17" customFormat="false" ht="15" hidden="false" customHeight="false" outlineLevel="0" collapsed="false">
      <c r="A17" s="14" t="s">
        <v>45</v>
      </c>
      <c r="B17" s="14" t="s">
        <v>46</v>
      </c>
      <c r="C17" s="14" t="n">
        <v>0.75</v>
      </c>
      <c r="D17" s="15" t="n">
        <v>360.15</v>
      </c>
      <c r="E17" s="15" t="n">
        <v>360.15</v>
      </c>
      <c r="F17" s="15" t="n">
        <v>360.15</v>
      </c>
      <c r="G17" s="15" t="n">
        <v>0</v>
      </c>
      <c r="H17" s="16" t="n">
        <v>10.003</v>
      </c>
      <c r="I17" s="17" t="n">
        <v>0</v>
      </c>
    </row>
    <row r="18" customFormat="false" ht="15" hidden="false" customHeight="false" outlineLevel="0" collapsed="false">
      <c r="A18" s="10" t="s">
        <v>45</v>
      </c>
      <c r="B18" s="10" t="s">
        <v>47</v>
      </c>
      <c r="C18" s="10" t="n">
        <v>0.75</v>
      </c>
      <c r="D18" s="11" t="n">
        <v>355.72</v>
      </c>
      <c r="E18" s="11" t="n">
        <v>355.72</v>
      </c>
      <c r="F18" s="11" t="n">
        <v>355.72</v>
      </c>
      <c r="G18" s="11" t="n">
        <v>0</v>
      </c>
      <c r="H18" s="12" t="n">
        <v>10.003</v>
      </c>
      <c r="I18" s="13" t="n">
        <v>0</v>
      </c>
    </row>
    <row r="19" customFormat="false" ht="15" hidden="false" customHeight="false" outlineLevel="0" collapsed="false">
      <c r="A19" s="14" t="s">
        <v>45</v>
      </c>
      <c r="B19" s="14" t="s">
        <v>48</v>
      </c>
      <c r="C19" s="14" t="n">
        <v>0.75</v>
      </c>
      <c r="D19" s="15" t="n">
        <v>355.5</v>
      </c>
      <c r="E19" s="15" t="n">
        <v>355.5</v>
      </c>
      <c r="F19" s="15" t="n">
        <v>355.5</v>
      </c>
      <c r="G19" s="15" t="n">
        <v>0</v>
      </c>
      <c r="H19" s="16" t="n">
        <v>10.002</v>
      </c>
      <c r="I19" s="17" t="n">
        <v>0</v>
      </c>
    </row>
    <row r="20" customFormat="false" ht="15" hidden="false" customHeight="false" outlineLevel="0" collapsed="false">
      <c r="A20" s="10" t="s">
        <v>45</v>
      </c>
      <c r="B20" s="10" t="s">
        <v>49</v>
      </c>
      <c r="C20" s="10" t="n">
        <v>0.75</v>
      </c>
      <c r="D20" s="11" t="n">
        <v>354.25</v>
      </c>
      <c r="E20" s="11" t="n">
        <v>354.25</v>
      </c>
      <c r="F20" s="11" t="n">
        <v>354.25</v>
      </c>
      <c r="G20" s="11" t="n">
        <v>0</v>
      </c>
      <c r="H20" s="12" t="n">
        <v>10.002</v>
      </c>
      <c r="I20" s="13" t="n">
        <v>0</v>
      </c>
    </row>
    <row r="21" customFormat="false" ht="15" hidden="false" customHeight="false" outlineLevel="0" collapsed="false">
      <c r="A21" s="14" t="s">
        <v>45</v>
      </c>
      <c r="B21" s="14" t="s">
        <v>50</v>
      </c>
      <c r="C21" s="14" t="n">
        <v>0.75</v>
      </c>
      <c r="D21" s="15" t="n">
        <v>356.06</v>
      </c>
      <c r="E21" s="15" t="n">
        <v>356.06</v>
      </c>
      <c r="F21" s="15" t="n">
        <v>356.06</v>
      </c>
      <c r="G21" s="15" t="n">
        <v>0</v>
      </c>
      <c r="H21" s="16" t="n">
        <v>10.003</v>
      </c>
      <c r="I21" s="17" t="n">
        <v>0</v>
      </c>
    </row>
    <row r="22" customFormat="false" ht="15" hidden="false" customHeight="false" outlineLevel="0" collapsed="false">
      <c r="A22" s="10" t="s">
        <v>45</v>
      </c>
      <c r="B22" s="10" t="s">
        <v>46</v>
      </c>
      <c r="C22" s="10" t="n">
        <v>0.9</v>
      </c>
      <c r="D22" s="11" t="n">
        <v>360.15</v>
      </c>
      <c r="E22" s="11" t="n">
        <v>360.15</v>
      </c>
      <c r="F22" s="11" t="n">
        <v>360.15</v>
      </c>
      <c r="G22" s="11" t="n">
        <v>0</v>
      </c>
      <c r="H22" s="12" t="n">
        <v>10.003</v>
      </c>
      <c r="I22" s="13" t="n">
        <v>0</v>
      </c>
    </row>
    <row r="23" customFormat="false" ht="15" hidden="false" customHeight="false" outlineLevel="0" collapsed="false">
      <c r="A23" s="14" t="s">
        <v>45</v>
      </c>
      <c r="B23" s="14" t="s">
        <v>47</v>
      </c>
      <c r="C23" s="14" t="n">
        <v>0.9</v>
      </c>
      <c r="D23" s="15" t="n">
        <v>355.72</v>
      </c>
      <c r="E23" s="15" t="n">
        <v>355.72</v>
      </c>
      <c r="F23" s="15" t="n">
        <v>355.72</v>
      </c>
      <c r="G23" s="15" t="n">
        <v>0</v>
      </c>
      <c r="H23" s="16" t="n">
        <v>10.002</v>
      </c>
      <c r="I23" s="17" t="n">
        <v>0</v>
      </c>
    </row>
    <row r="24" customFormat="false" ht="15" hidden="false" customHeight="false" outlineLevel="0" collapsed="false">
      <c r="A24" s="10" t="s">
        <v>45</v>
      </c>
      <c r="B24" s="10" t="s">
        <v>48</v>
      </c>
      <c r="C24" s="10" t="n">
        <v>0.9</v>
      </c>
      <c r="D24" s="11" t="n">
        <v>355.5</v>
      </c>
      <c r="E24" s="11" t="n">
        <v>355.5</v>
      </c>
      <c r="F24" s="11" t="n">
        <v>355.5</v>
      </c>
      <c r="G24" s="11" t="n">
        <v>0</v>
      </c>
      <c r="H24" s="12" t="n">
        <v>10.003</v>
      </c>
      <c r="I24" s="13" t="n">
        <v>0</v>
      </c>
    </row>
    <row r="25" customFormat="false" ht="15" hidden="false" customHeight="false" outlineLevel="0" collapsed="false">
      <c r="A25" s="14" t="s">
        <v>45</v>
      </c>
      <c r="B25" s="14" t="s">
        <v>49</v>
      </c>
      <c r="C25" s="14" t="n">
        <v>0.9</v>
      </c>
      <c r="D25" s="15" t="n">
        <v>354.25</v>
      </c>
      <c r="E25" s="15" t="n">
        <v>354.25</v>
      </c>
      <c r="F25" s="15" t="n">
        <v>354.25</v>
      </c>
      <c r="G25" s="15" t="n">
        <v>0</v>
      </c>
      <c r="H25" s="16" t="n">
        <v>10.002</v>
      </c>
      <c r="I25" s="17" t="n">
        <v>0</v>
      </c>
    </row>
    <row r="26" customFormat="false" ht="15" hidden="false" customHeight="false" outlineLevel="0" collapsed="false">
      <c r="A26" s="10" t="s">
        <v>45</v>
      </c>
      <c r="B26" s="10" t="s">
        <v>50</v>
      </c>
      <c r="C26" s="10" t="n">
        <v>0.9</v>
      </c>
      <c r="D26" s="11" t="n">
        <v>356.06</v>
      </c>
      <c r="E26" s="11" t="n">
        <v>356.06</v>
      </c>
      <c r="F26" s="11" t="n">
        <v>356.06</v>
      </c>
      <c r="G26" s="11" t="n">
        <v>0</v>
      </c>
      <c r="H26" s="12" t="n">
        <v>10.001</v>
      </c>
      <c r="I26" s="13" t="n">
        <v>0</v>
      </c>
    </row>
    <row r="27" customFormat="false" ht="15" hidden="false" customHeight="false" outlineLevel="0" collapsed="false">
      <c r="A27" s="14" t="s">
        <v>45</v>
      </c>
      <c r="B27" s="14" t="s">
        <v>46</v>
      </c>
      <c r="C27" s="14" t="s">
        <v>51</v>
      </c>
      <c r="D27" s="15" t="n">
        <v>360.15</v>
      </c>
      <c r="E27" s="15" t="n">
        <v>360.15</v>
      </c>
      <c r="F27" s="15" t="n">
        <v>360.15</v>
      </c>
      <c r="G27" s="15" t="n">
        <v>0</v>
      </c>
      <c r="H27" s="16" t="n">
        <v>10.002</v>
      </c>
      <c r="I27" s="17" t="n">
        <v>0</v>
      </c>
    </row>
    <row r="28" customFormat="false" ht="15" hidden="false" customHeight="false" outlineLevel="0" collapsed="false">
      <c r="A28" s="10" t="s">
        <v>45</v>
      </c>
      <c r="B28" s="10" t="s">
        <v>47</v>
      </c>
      <c r="C28" s="10" t="s">
        <v>51</v>
      </c>
      <c r="D28" s="11" t="n">
        <v>355.72</v>
      </c>
      <c r="E28" s="11" t="n">
        <v>355.72</v>
      </c>
      <c r="F28" s="11" t="n">
        <v>355.72</v>
      </c>
      <c r="G28" s="11" t="n">
        <v>0</v>
      </c>
      <c r="H28" s="12" t="n">
        <v>10.002</v>
      </c>
      <c r="I28" s="13" t="n">
        <v>0</v>
      </c>
    </row>
    <row r="29" customFormat="false" ht="15" hidden="false" customHeight="false" outlineLevel="0" collapsed="false">
      <c r="A29" s="14" t="s">
        <v>45</v>
      </c>
      <c r="B29" s="14" t="s">
        <v>48</v>
      </c>
      <c r="C29" s="14" t="s">
        <v>51</v>
      </c>
      <c r="D29" s="15" t="n">
        <v>355.5</v>
      </c>
      <c r="E29" s="15" t="n">
        <v>355.5</v>
      </c>
      <c r="F29" s="15" t="n">
        <v>355.5</v>
      </c>
      <c r="G29" s="15" t="n">
        <v>0</v>
      </c>
      <c r="H29" s="16" t="n">
        <v>10.003</v>
      </c>
      <c r="I29" s="17" t="n">
        <v>0</v>
      </c>
    </row>
    <row r="30" customFormat="false" ht="15" hidden="false" customHeight="false" outlineLevel="0" collapsed="false">
      <c r="A30" s="10" t="s">
        <v>45</v>
      </c>
      <c r="B30" s="10" t="s">
        <v>49</v>
      </c>
      <c r="C30" s="10" t="s">
        <v>51</v>
      </c>
      <c r="D30" s="11" t="n">
        <v>354.25</v>
      </c>
      <c r="E30" s="11" t="n">
        <v>354.25</v>
      </c>
      <c r="F30" s="11" t="n">
        <v>354.25</v>
      </c>
      <c r="G30" s="11" t="n">
        <v>0</v>
      </c>
      <c r="H30" s="12" t="n">
        <v>10.002</v>
      </c>
      <c r="I30" s="13" t="n">
        <v>0</v>
      </c>
    </row>
    <row r="31" customFormat="false" ht="15" hidden="false" customHeight="false" outlineLevel="0" collapsed="false">
      <c r="A31" s="14" t="s">
        <v>45</v>
      </c>
      <c r="B31" s="14" t="s">
        <v>50</v>
      </c>
      <c r="C31" s="14" t="s">
        <v>51</v>
      </c>
      <c r="D31" s="15" t="n">
        <v>356.06</v>
      </c>
      <c r="E31" s="15" t="n">
        <v>356.06</v>
      </c>
      <c r="F31" s="15" t="n">
        <v>356.06</v>
      </c>
      <c r="G31" s="15" t="n">
        <v>0</v>
      </c>
      <c r="H31" s="16" t="n">
        <v>10.002</v>
      </c>
      <c r="I31" s="17" t="n">
        <v>0</v>
      </c>
    </row>
    <row r="32" customFormat="false" ht="15" hidden="false" customHeight="false" outlineLevel="0" collapsed="false">
      <c r="A32" s="10" t="s">
        <v>52</v>
      </c>
      <c r="B32" s="10" t="s">
        <v>53</v>
      </c>
      <c r="C32" s="10" t="n">
        <v>0.1</v>
      </c>
      <c r="D32" s="11" t="n">
        <v>7688.61</v>
      </c>
      <c r="E32" s="11" t="n">
        <v>7720.38</v>
      </c>
      <c r="F32" s="11" t="n">
        <v>7651.65</v>
      </c>
      <c r="G32" s="11" t="n">
        <v>34.6569</v>
      </c>
      <c r="H32" s="12" t="n">
        <v>10.335</v>
      </c>
      <c r="I32" s="13" t="n">
        <v>0.2536</v>
      </c>
    </row>
    <row r="33" customFormat="false" ht="15" hidden="false" customHeight="false" outlineLevel="0" collapsed="false">
      <c r="A33" s="14" t="s">
        <v>52</v>
      </c>
      <c r="B33" s="14" t="s">
        <v>54</v>
      </c>
      <c r="C33" s="14" t="n">
        <v>0.1</v>
      </c>
      <c r="D33" s="15" t="n">
        <v>7655.99</v>
      </c>
      <c r="E33" s="15" t="n">
        <v>7668.68</v>
      </c>
      <c r="F33" s="15" t="n">
        <v>7643.29</v>
      </c>
      <c r="G33" s="15" t="n">
        <v>12.695</v>
      </c>
      <c r="H33" s="16" t="n">
        <v>10.286</v>
      </c>
      <c r="I33" s="17" t="n">
        <v>0.2536</v>
      </c>
    </row>
    <row r="34" customFormat="false" ht="15" hidden="false" customHeight="false" outlineLevel="0" collapsed="false">
      <c r="A34" s="10" t="s">
        <v>52</v>
      </c>
      <c r="B34" s="10" t="s">
        <v>55</v>
      </c>
      <c r="C34" s="10" t="n">
        <v>0.1</v>
      </c>
      <c r="D34" s="11" t="n">
        <v>7717.68</v>
      </c>
      <c r="E34" s="11" t="n">
        <v>7752.31</v>
      </c>
      <c r="F34" s="11" t="n">
        <v>7683.27</v>
      </c>
      <c r="G34" s="11" t="n">
        <v>34.5205</v>
      </c>
      <c r="H34" s="12" t="n">
        <v>10.166</v>
      </c>
      <c r="I34" s="13" t="n">
        <v>0.2536</v>
      </c>
    </row>
    <row r="35" customFormat="false" ht="15" hidden="false" customHeight="false" outlineLevel="0" collapsed="false">
      <c r="A35" s="14" t="s">
        <v>52</v>
      </c>
      <c r="B35" s="14" t="s">
        <v>56</v>
      </c>
      <c r="C35" s="14" t="n">
        <v>0.1</v>
      </c>
      <c r="D35" s="15" t="n">
        <v>7679.11</v>
      </c>
      <c r="E35" s="15" t="n">
        <v>7706.34</v>
      </c>
      <c r="F35" s="15" t="n">
        <v>7651.97</v>
      </c>
      <c r="G35" s="15" t="n">
        <v>27.1851</v>
      </c>
      <c r="H35" s="16" t="n">
        <v>10.14</v>
      </c>
      <c r="I35" s="17" t="n">
        <v>0.2536</v>
      </c>
    </row>
    <row r="36" customFormat="false" ht="15" hidden="false" customHeight="false" outlineLevel="0" collapsed="false">
      <c r="A36" s="10" t="s">
        <v>52</v>
      </c>
      <c r="B36" s="10" t="s">
        <v>57</v>
      </c>
      <c r="C36" s="10" t="n">
        <v>0.1</v>
      </c>
      <c r="D36" s="11" t="n">
        <v>7731.37</v>
      </c>
      <c r="E36" s="11" t="n">
        <v>7739.85</v>
      </c>
      <c r="F36" s="11" t="n">
        <v>7715.05</v>
      </c>
      <c r="G36" s="11" t="n">
        <v>14.1399</v>
      </c>
      <c r="H36" s="12" t="n">
        <v>10.48</v>
      </c>
      <c r="I36" s="13" t="n">
        <v>0.2536</v>
      </c>
    </row>
    <row r="37" customFormat="false" ht="15" hidden="false" customHeight="false" outlineLevel="0" collapsed="false">
      <c r="A37" s="14" t="s">
        <v>52</v>
      </c>
      <c r="B37" s="14" t="s">
        <v>53</v>
      </c>
      <c r="C37" s="14" t="n">
        <v>0.25</v>
      </c>
      <c r="D37" s="15" t="n">
        <v>7691.04</v>
      </c>
      <c r="E37" s="15" t="n">
        <v>7706.87</v>
      </c>
      <c r="F37" s="15" t="n">
        <v>7671.19</v>
      </c>
      <c r="G37" s="15" t="n">
        <v>18.1765</v>
      </c>
      <c r="H37" s="16" t="n">
        <v>10.729</v>
      </c>
      <c r="I37" s="17" t="n">
        <v>0.2868</v>
      </c>
    </row>
    <row r="38" customFormat="false" ht="15" hidden="false" customHeight="false" outlineLevel="0" collapsed="false">
      <c r="A38" s="10" t="s">
        <v>52</v>
      </c>
      <c r="B38" s="10" t="s">
        <v>54</v>
      </c>
      <c r="C38" s="10" t="n">
        <v>0.25</v>
      </c>
      <c r="D38" s="11" t="n">
        <v>7657.05</v>
      </c>
      <c r="E38" s="11" t="n">
        <v>7681.31</v>
      </c>
      <c r="F38" s="11" t="n">
        <v>7635.6</v>
      </c>
      <c r="G38" s="11" t="n">
        <v>22.9836</v>
      </c>
      <c r="H38" s="12" t="n">
        <v>10.773</v>
      </c>
      <c r="I38" s="13" t="n">
        <v>0.2868</v>
      </c>
    </row>
    <row r="39" customFormat="false" ht="15" hidden="false" customHeight="false" outlineLevel="0" collapsed="false">
      <c r="A39" s="14" t="s">
        <v>52</v>
      </c>
      <c r="B39" s="14" t="s">
        <v>55</v>
      </c>
      <c r="C39" s="14" t="n">
        <v>0.25</v>
      </c>
      <c r="D39" s="15" t="n">
        <v>7673.98</v>
      </c>
      <c r="E39" s="15" t="n">
        <v>7687.29</v>
      </c>
      <c r="F39" s="15" t="n">
        <v>7653.34</v>
      </c>
      <c r="G39" s="15" t="n">
        <v>18.1231</v>
      </c>
      <c r="H39" s="16" t="n">
        <v>11.446</v>
      </c>
      <c r="I39" s="17" t="n">
        <v>0.2868</v>
      </c>
    </row>
    <row r="40" customFormat="false" ht="15" hidden="false" customHeight="false" outlineLevel="0" collapsed="false">
      <c r="A40" s="10" t="s">
        <v>52</v>
      </c>
      <c r="B40" s="10" t="s">
        <v>56</v>
      </c>
      <c r="C40" s="10" t="n">
        <v>0.25</v>
      </c>
      <c r="D40" s="11" t="n">
        <v>7723.23</v>
      </c>
      <c r="E40" s="11" t="n">
        <v>7732.64</v>
      </c>
      <c r="F40" s="11" t="n">
        <v>7714.41</v>
      </c>
      <c r="G40" s="11" t="n">
        <v>9.1296</v>
      </c>
      <c r="H40" s="12" t="n">
        <v>10.941</v>
      </c>
      <c r="I40" s="13" t="n">
        <v>0.2868</v>
      </c>
    </row>
    <row r="41" customFormat="false" ht="15" hidden="false" customHeight="false" outlineLevel="0" collapsed="false">
      <c r="A41" s="14" t="s">
        <v>52</v>
      </c>
      <c r="B41" s="14" t="s">
        <v>57</v>
      </c>
      <c r="C41" s="14" t="n">
        <v>0.25</v>
      </c>
      <c r="D41" s="15" t="n">
        <v>7714.66</v>
      </c>
      <c r="E41" s="15" t="n">
        <v>7752.67</v>
      </c>
      <c r="F41" s="15" t="n">
        <v>7693.4</v>
      </c>
      <c r="G41" s="15" t="n">
        <v>32.9948</v>
      </c>
      <c r="H41" s="16" t="n">
        <v>10.79</v>
      </c>
      <c r="I41" s="17" t="n">
        <v>0.2868</v>
      </c>
    </row>
    <row r="42" customFormat="false" ht="15" hidden="false" customHeight="false" outlineLevel="0" collapsed="false">
      <c r="A42" s="10" t="s">
        <v>52</v>
      </c>
      <c r="B42" s="10" t="s">
        <v>53</v>
      </c>
      <c r="C42" s="10" t="n">
        <v>0.5</v>
      </c>
      <c r="D42" s="11" t="n">
        <v>7678.87</v>
      </c>
      <c r="E42" s="11" t="n">
        <v>7742.57</v>
      </c>
      <c r="F42" s="11" t="n">
        <v>7635.4</v>
      </c>
      <c r="G42" s="11" t="n">
        <v>56.3745</v>
      </c>
      <c r="H42" s="12" t="n">
        <v>11.159</v>
      </c>
      <c r="I42" s="13" t="n">
        <v>0.5816</v>
      </c>
    </row>
    <row r="43" customFormat="false" ht="15" hidden="false" customHeight="false" outlineLevel="0" collapsed="false">
      <c r="A43" s="14" t="s">
        <v>52</v>
      </c>
      <c r="B43" s="14" t="s">
        <v>54</v>
      </c>
      <c r="C43" s="14" t="n">
        <v>0.5</v>
      </c>
      <c r="D43" s="15" t="n">
        <v>7638.03</v>
      </c>
      <c r="E43" s="15" t="n">
        <v>7644.91</v>
      </c>
      <c r="F43" s="15" t="n">
        <v>7633.6</v>
      </c>
      <c r="G43" s="15" t="n">
        <v>6.042</v>
      </c>
      <c r="H43" s="16" t="n">
        <v>10.606</v>
      </c>
      <c r="I43" s="17" t="n">
        <v>0.5816</v>
      </c>
    </row>
    <row r="44" customFormat="false" ht="15" hidden="false" customHeight="false" outlineLevel="0" collapsed="false">
      <c r="A44" s="10" t="s">
        <v>52</v>
      </c>
      <c r="B44" s="10" t="s">
        <v>55</v>
      </c>
      <c r="C44" s="10" t="n">
        <v>0.5</v>
      </c>
      <c r="D44" s="11" t="n">
        <v>7650.69</v>
      </c>
      <c r="E44" s="11" t="n">
        <v>7677.03</v>
      </c>
      <c r="F44" s="11" t="n">
        <v>7629.08</v>
      </c>
      <c r="G44" s="11" t="n">
        <v>24.3224</v>
      </c>
      <c r="H44" s="12" t="n">
        <v>11.144</v>
      </c>
      <c r="I44" s="13" t="n">
        <v>0.5816</v>
      </c>
    </row>
    <row r="45" customFormat="false" ht="15" hidden="false" customHeight="false" outlineLevel="0" collapsed="false">
      <c r="A45" s="14" t="s">
        <v>52</v>
      </c>
      <c r="B45" s="14" t="s">
        <v>56</v>
      </c>
      <c r="C45" s="14" t="n">
        <v>0.5</v>
      </c>
      <c r="D45" s="15" t="n">
        <v>7665.39</v>
      </c>
      <c r="E45" s="15" t="n">
        <v>7706.05</v>
      </c>
      <c r="F45" s="15" t="n">
        <v>7635.3</v>
      </c>
      <c r="G45" s="15" t="n">
        <v>36.5416</v>
      </c>
      <c r="H45" s="16" t="n">
        <v>11.008</v>
      </c>
      <c r="I45" s="17" t="n">
        <v>0.5816</v>
      </c>
    </row>
    <row r="46" customFormat="false" ht="15" hidden="false" customHeight="false" outlineLevel="0" collapsed="false">
      <c r="A46" s="10" t="s">
        <v>52</v>
      </c>
      <c r="B46" s="10" t="s">
        <v>57</v>
      </c>
      <c r="C46" s="10" t="n">
        <v>0.5</v>
      </c>
      <c r="D46" s="11" t="n">
        <v>7713.26</v>
      </c>
      <c r="E46" s="11" t="n">
        <v>7727.9</v>
      </c>
      <c r="F46" s="11" t="n">
        <v>7701.78</v>
      </c>
      <c r="G46" s="11" t="n">
        <v>13.3425</v>
      </c>
      <c r="H46" s="12" t="n">
        <v>11.006</v>
      </c>
      <c r="I46" s="13" t="n">
        <v>0.5816</v>
      </c>
    </row>
    <row r="47" customFormat="false" ht="15" hidden="false" customHeight="false" outlineLevel="0" collapsed="false">
      <c r="A47" s="14" t="s">
        <v>52</v>
      </c>
      <c r="B47" s="14" t="s">
        <v>53</v>
      </c>
      <c r="C47" s="14" t="n">
        <v>0.75</v>
      </c>
      <c r="D47" s="15" t="n">
        <v>7626.04</v>
      </c>
      <c r="E47" s="15" t="n">
        <v>7651.71</v>
      </c>
      <c r="F47" s="15" t="n">
        <v>7609.5</v>
      </c>
      <c r="G47" s="15" t="n">
        <v>22.5355</v>
      </c>
      <c r="H47" s="16" t="n">
        <v>10.735</v>
      </c>
      <c r="I47" s="17" t="n">
        <v>0.7272</v>
      </c>
    </row>
    <row r="48" customFormat="false" ht="15" hidden="false" customHeight="false" outlineLevel="0" collapsed="false">
      <c r="A48" s="10" t="s">
        <v>52</v>
      </c>
      <c r="B48" s="10" t="s">
        <v>54</v>
      </c>
      <c r="C48" s="10" t="n">
        <v>0.75</v>
      </c>
      <c r="D48" s="11" t="n">
        <v>7644.7</v>
      </c>
      <c r="E48" s="11" t="n">
        <v>7645.54</v>
      </c>
      <c r="F48" s="11" t="n">
        <v>7643.21</v>
      </c>
      <c r="G48" s="11" t="n">
        <v>1.2964</v>
      </c>
      <c r="H48" s="12" t="n">
        <v>11.223</v>
      </c>
      <c r="I48" s="13" t="n">
        <v>0.7272</v>
      </c>
    </row>
    <row r="49" customFormat="false" ht="15" hidden="false" customHeight="false" outlineLevel="0" collapsed="false">
      <c r="A49" s="14" t="s">
        <v>52</v>
      </c>
      <c r="B49" s="14" t="s">
        <v>55</v>
      </c>
      <c r="C49" s="14" t="n">
        <v>0.75</v>
      </c>
      <c r="D49" s="15" t="n">
        <v>7648.92</v>
      </c>
      <c r="E49" s="15" t="n">
        <v>7689.14</v>
      </c>
      <c r="F49" s="15" t="n">
        <v>7618.73</v>
      </c>
      <c r="G49" s="15" t="n">
        <v>36.2608</v>
      </c>
      <c r="H49" s="16" t="n">
        <v>11.012</v>
      </c>
      <c r="I49" s="17" t="n">
        <v>0.7272</v>
      </c>
    </row>
    <row r="50" customFormat="false" ht="15" hidden="false" customHeight="false" outlineLevel="0" collapsed="false">
      <c r="A50" s="10" t="s">
        <v>52</v>
      </c>
      <c r="B50" s="10" t="s">
        <v>56</v>
      </c>
      <c r="C50" s="10" t="n">
        <v>0.75</v>
      </c>
      <c r="D50" s="11" t="n">
        <v>7675.05</v>
      </c>
      <c r="E50" s="11" t="n">
        <v>7712.31</v>
      </c>
      <c r="F50" s="11" t="n">
        <v>7643.43</v>
      </c>
      <c r="G50" s="11" t="n">
        <v>34.7846</v>
      </c>
      <c r="H50" s="12" t="n">
        <v>11.032</v>
      </c>
      <c r="I50" s="13" t="n">
        <v>0.7272</v>
      </c>
    </row>
    <row r="51" customFormat="false" ht="15" hidden="false" customHeight="false" outlineLevel="0" collapsed="false">
      <c r="A51" s="14" t="s">
        <v>52</v>
      </c>
      <c r="B51" s="14" t="s">
        <v>57</v>
      </c>
      <c r="C51" s="14" t="n">
        <v>0.75</v>
      </c>
      <c r="D51" s="15" t="n">
        <v>7695.38</v>
      </c>
      <c r="E51" s="15" t="n">
        <v>7727.06</v>
      </c>
      <c r="F51" s="15" t="n">
        <v>7667.14</v>
      </c>
      <c r="G51" s="15" t="n">
        <v>30.1072</v>
      </c>
      <c r="H51" s="16" t="n">
        <v>11.109</v>
      </c>
      <c r="I51" s="17" t="n">
        <v>0.7272</v>
      </c>
    </row>
    <row r="52" customFormat="false" ht="15" hidden="false" customHeight="false" outlineLevel="0" collapsed="false">
      <c r="A52" s="10" t="s">
        <v>52</v>
      </c>
      <c r="B52" s="10" t="s">
        <v>53</v>
      </c>
      <c r="C52" s="10" t="n">
        <v>0.9</v>
      </c>
      <c r="D52" s="11" t="n">
        <v>7703.77</v>
      </c>
      <c r="E52" s="11" t="n">
        <v>7754.9</v>
      </c>
      <c r="F52" s="11" t="n">
        <v>7647.4</v>
      </c>
      <c r="G52" s="11" t="n">
        <v>53.9412</v>
      </c>
      <c r="H52" s="12" t="n">
        <v>11.525</v>
      </c>
      <c r="I52" s="13" t="n">
        <v>0.5551</v>
      </c>
    </row>
    <row r="53" customFormat="false" ht="15" hidden="false" customHeight="false" outlineLevel="0" collapsed="false">
      <c r="A53" s="14" t="s">
        <v>52</v>
      </c>
      <c r="B53" s="14" t="s">
        <v>54</v>
      </c>
      <c r="C53" s="14" t="n">
        <v>0.9</v>
      </c>
      <c r="D53" s="15" t="n">
        <v>7648.76</v>
      </c>
      <c r="E53" s="15" t="n">
        <v>7682.51</v>
      </c>
      <c r="F53" s="15" t="n">
        <v>7627.32</v>
      </c>
      <c r="G53" s="15" t="n">
        <v>29.5848</v>
      </c>
      <c r="H53" s="16" t="n">
        <v>11.066</v>
      </c>
      <c r="I53" s="17" t="n">
        <v>0.5551</v>
      </c>
    </row>
    <row r="54" customFormat="false" ht="15" hidden="false" customHeight="false" outlineLevel="0" collapsed="false">
      <c r="A54" s="10" t="s">
        <v>52</v>
      </c>
      <c r="B54" s="10" t="s">
        <v>55</v>
      </c>
      <c r="C54" s="10" t="n">
        <v>0.9</v>
      </c>
      <c r="D54" s="11" t="n">
        <v>7659.76</v>
      </c>
      <c r="E54" s="11" t="n">
        <v>7690.85</v>
      </c>
      <c r="F54" s="11" t="n">
        <v>7633.02</v>
      </c>
      <c r="G54" s="11" t="n">
        <v>29.1594</v>
      </c>
      <c r="H54" s="12" t="n">
        <v>11.283</v>
      </c>
      <c r="I54" s="13" t="n">
        <v>0.5551</v>
      </c>
    </row>
    <row r="55" customFormat="false" ht="15" hidden="false" customHeight="false" outlineLevel="0" collapsed="false">
      <c r="A55" s="14" t="s">
        <v>52</v>
      </c>
      <c r="B55" s="14" t="s">
        <v>56</v>
      </c>
      <c r="C55" s="14" t="n">
        <v>0.9</v>
      </c>
      <c r="D55" s="15" t="n">
        <v>7681.49</v>
      </c>
      <c r="E55" s="15" t="n">
        <v>7718.59</v>
      </c>
      <c r="F55" s="15" t="n">
        <v>7637.7</v>
      </c>
      <c r="G55" s="15" t="n">
        <v>40.8579</v>
      </c>
      <c r="H55" s="16" t="n">
        <v>10.655</v>
      </c>
      <c r="I55" s="17" t="n">
        <v>0.5551</v>
      </c>
    </row>
    <row r="56" customFormat="false" ht="15" hidden="false" customHeight="false" outlineLevel="0" collapsed="false">
      <c r="A56" s="10" t="s">
        <v>52</v>
      </c>
      <c r="B56" s="10" t="s">
        <v>57</v>
      </c>
      <c r="C56" s="10" t="n">
        <v>0.9</v>
      </c>
      <c r="D56" s="11" t="n">
        <v>7662.5</v>
      </c>
      <c r="E56" s="11" t="n">
        <v>7679.36</v>
      </c>
      <c r="F56" s="11" t="n">
        <v>7649.82</v>
      </c>
      <c r="G56" s="11" t="n">
        <v>15.2085</v>
      </c>
      <c r="H56" s="12" t="n">
        <v>11.093</v>
      </c>
      <c r="I56" s="13" t="n">
        <v>0.5551</v>
      </c>
    </row>
    <row r="57" customFormat="false" ht="15" hidden="false" customHeight="false" outlineLevel="0" collapsed="false">
      <c r="A57" s="14" t="s">
        <v>52</v>
      </c>
      <c r="B57" s="14" t="s">
        <v>53</v>
      </c>
      <c r="C57" s="14" t="s">
        <v>51</v>
      </c>
      <c r="D57" s="15" t="n">
        <v>7656.02</v>
      </c>
      <c r="E57" s="15" t="n">
        <v>7675.53</v>
      </c>
      <c r="F57" s="15" t="n">
        <v>7634.5</v>
      </c>
      <c r="G57" s="15" t="n">
        <v>20.5887</v>
      </c>
      <c r="H57" s="16" t="n">
        <v>11.692</v>
      </c>
      <c r="I57" s="17" t="n">
        <v>0.3373</v>
      </c>
    </row>
    <row r="58" customFormat="false" ht="15" hidden="false" customHeight="false" outlineLevel="0" collapsed="false">
      <c r="A58" s="10" t="s">
        <v>52</v>
      </c>
      <c r="B58" s="10" t="s">
        <v>54</v>
      </c>
      <c r="C58" s="10" t="s">
        <v>51</v>
      </c>
      <c r="D58" s="11" t="n">
        <v>7694.46</v>
      </c>
      <c r="E58" s="11" t="n">
        <v>7731.54</v>
      </c>
      <c r="F58" s="11" t="n">
        <v>7632.85</v>
      </c>
      <c r="G58" s="11" t="n">
        <v>53.7213</v>
      </c>
      <c r="H58" s="12" t="n">
        <v>10.773</v>
      </c>
      <c r="I58" s="13" t="n">
        <v>0.3373</v>
      </c>
    </row>
    <row r="59" customFormat="false" ht="15" hidden="false" customHeight="false" outlineLevel="0" collapsed="false">
      <c r="A59" s="14" t="s">
        <v>52</v>
      </c>
      <c r="B59" s="14" t="s">
        <v>55</v>
      </c>
      <c r="C59" s="14" t="s">
        <v>51</v>
      </c>
      <c r="D59" s="15" t="n">
        <v>7695.61</v>
      </c>
      <c r="E59" s="15" t="n">
        <v>7710.32</v>
      </c>
      <c r="F59" s="15" t="n">
        <v>7668.7</v>
      </c>
      <c r="G59" s="15" t="n">
        <v>23.3359</v>
      </c>
      <c r="H59" s="16" t="n">
        <v>11.042</v>
      </c>
      <c r="I59" s="17" t="n">
        <v>0.3373</v>
      </c>
    </row>
    <row r="60" customFormat="false" ht="15" hidden="false" customHeight="false" outlineLevel="0" collapsed="false">
      <c r="A60" s="10" t="s">
        <v>52</v>
      </c>
      <c r="B60" s="10" t="s">
        <v>56</v>
      </c>
      <c r="C60" s="10" t="s">
        <v>51</v>
      </c>
      <c r="D60" s="11" t="n">
        <v>7689.25</v>
      </c>
      <c r="E60" s="11" t="n">
        <v>7703.27</v>
      </c>
      <c r="F60" s="11" t="n">
        <v>7668.57</v>
      </c>
      <c r="G60" s="11" t="n">
        <v>18.2818</v>
      </c>
      <c r="H60" s="12" t="n">
        <v>11.125</v>
      </c>
      <c r="I60" s="13" t="n">
        <v>0.3373</v>
      </c>
    </row>
    <row r="61" customFormat="false" ht="15" hidden="false" customHeight="false" outlineLevel="0" collapsed="false">
      <c r="A61" s="14" t="s">
        <v>52</v>
      </c>
      <c r="B61" s="14" t="s">
        <v>57</v>
      </c>
      <c r="C61" s="14" t="s">
        <v>51</v>
      </c>
      <c r="D61" s="15" t="n">
        <v>7705.03</v>
      </c>
      <c r="E61" s="15" t="n">
        <v>7722.3</v>
      </c>
      <c r="F61" s="15" t="n">
        <v>7694.77</v>
      </c>
      <c r="G61" s="15" t="n">
        <v>15.0466</v>
      </c>
      <c r="H61" s="16" t="n">
        <v>11.359</v>
      </c>
      <c r="I61" s="17" t="n">
        <v>0.3373</v>
      </c>
    </row>
    <row r="63" customFormat="false" ht="15" hidden="false" customHeight="true" outlineLevel="0" collapsed="false">
      <c r="A63" s="18" t="s">
        <v>58</v>
      </c>
      <c r="B63" s="18"/>
      <c r="C63" s="18"/>
    </row>
    <row r="64" customFormat="false" ht="18" hidden="false" customHeight="true" outlineLevel="0" collapsed="false">
      <c r="A64" s="19" t="s">
        <v>59</v>
      </c>
      <c r="B64" s="19"/>
      <c r="C64" s="19"/>
      <c r="D64" s="11" t="n">
        <f aca="false">AVERAGE(D2:D61)</f>
        <v>4017.59633333333</v>
      </c>
      <c r="E64" s="20" t="n">
        <f aca="false">AVERAGE(E2:E61)</f>
        <v>4030.53016666667</v>
      </c>
      <c r="F64" s="20" t="n">
        <f aca="false">AVERAGE(F2:F61)</f>
        <v>4005.25116666667</v>
      </c>
      <c r="G64" s="20" t="n">
        <f aca="false">AVERAGE(G2:G61)</f>
        <v>13.0989766666667</v>
      </c>
      <c r="H64" s="20" t="n">
        <f aca="false">AVERAGE(H2:H61)</f>
        <v>10.4631833333333</v>
      </c>
      <c r="I64" s="21" t="n">
        <f aca="false">AVERAGE(I2:I61)</f>
        <v>0.228466666666667</v>
      </c>
    </row>
    <row r="65" customFormat="false" ht="18" hidden="false" customHeight="true" outlineLevel="0" collapsed="false">
      <c r="A65" s="22" t="s">
        <v>60</v>
      </c>
      <c r="B65" s="22"/>
      <c r="C65" s="22"/>
      <c r="E65" s="15" t="n">
        <f aca="false">MAX(E2:E61)</f>
        <v>7754.9</v>
      </c>
    </row>
    <row r="66" customFormat="false" ht="18" hidden="false" customHeight="true" outlineLevel="0" collapsed="false">
      <c r="A66" s="22" t="s">
        <v>61</v>
      </c>
      <c r="B66" s="22"/>
      <c r="C66" s="22"/>
      <c r="F66" s="11" t="n">
        <f aca="false">MIN(F2:F61)</f>
        <v>354.25</v>
      </c>
    </row>
    <row r="67" customFormat="false" ht="18" hidden="false" customHeight="true" outlineLevel="0" collapsed="false">
      <c r="A67" s="22" t="s">
        <v>62</v>
      </c>
      <c r="B67" s="22"/>
      <c r="C67" s="22"/>
      <c r="G67" s="15" t="n">
        <f aca="false">AVERAGE(G2:G61)</f>
        <v>13.0989766666667</v>
      </c>
    </row>
    <row r="68" customFormat="false" ht="18" hidden="false" customHeight="true" outlineLevel="0" collapsed="false">
      <c r="A68" s="22" t="s">
        <v>43</v>
      </c>
      <c r="B68" s="22"/>
      <c r="C68" s="22"/>
      <c r="H68" s="12" t="n">
        <f aca="false">AVERAGE(H2:H61)</f>
        <v>10.4631833333333</v>
      </c>
    </row>
    <row r="69" customFormat="false" ht="18" hidden="false" customHeight="true" outlineLevel="0" collapsed="false">
      <c r="A69" s="22" t="s">
        <v>63</v>
      </c>
      <c r="B69" s="22"/>
      <c r="C69" s="22"/>
      <c r="I69" s="17" t="n">
        <f aca="false">AVERAGE(I2:I61)</f>
        <v>0.228466666666667</v>
      </c>
    </row>
  </sheetData>
  <mergeCells count="7">
    <mergeCell ref="A63:C63"/>
    <mergeCell ref="A64:C64"/>
    <mergeCell ref="A65:C65"/>
    <mergeCell ref="A66:C66"/>
    <mergeCell ref="A67:C67"/>
    <mergeCell ref="A68:C68"/>
    <mergeCell ref="A69:C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3"/>
    <col collapsed="false" customWidth="true" hidden="false" outlineLevel="0" max="3" min="3" style="0" width="11"/>
    <col collapsed="false" customWidth="true" hidden="false" outlineLevel="0" max="4" min="4" style="0" width="5"/>
    <col collapsed="false" customWidth="true" hidden="false" outlineLevel="0" max="6" min="5" style="0" width="9"/>
    <col collapsed="false" customWidth="true" hidden="false" outlineLevel="0" max="7" min="7" style="0" width="12"/>
  </cols>
  <sheetData>
    <row r="1" customFormat="false" ht="30" hidden="false" customHeight="true" outlineLevel="0" collapsed="false">
      <c r="A1" s="9" t="s">
        <v>36</v>
      </c>
      <c r="B1" s="9" t="s">
        <v>37</v>
      </c>
      <c r="C1" s="9" t="s">
        <v>38</v>
      </c>
      <c r="D1" s="9" t="s">
        <v>64</v>
      </c>
      <c r="E1" s="9" t="s">
        <v>65</v>
      </c>
      <c r="F1" s="9" t="s">
        <v>66</v>
      </c>
      <c r="G1" s="9" t="s">
        <v>67</v>
      </c>
    </row>
    <row r="2" customFormat="false" ht="15" hidden="false" customHeight="false" outlineLevel="0" collapsed="false">
      <c r="A2" s="10" t="s">
        <v>45</v>
      </c>
      <c r="B2" s="10" t="s">
        <v>46</v>
      </c>
      <c r="C2" s="10" t="n">
        <v>0.1</v>
      </c>
      <c r="D2" s="10" t="n">
        <v>0</v>
      </c>
      <c r="E2" s="10" t="n">
        <v>42</v>
      </c>
      <c r="F2" s="11" t="n">
        <v>360.15</v>
      </c>
      <c r="G2" s="12" t="n">
        <v>10.001</v>
      </c>
    </row>
    <row r="3" customFormat="false" ht="15" hidden="false" customHeight="false" outlineLevel="0" collapsed="false">
      <c r="A3" s="14" t="s">
        <v>45</v>
      </c>
      <c r="B3" s="14" t="s">
        <v>46</v>
      </c>
      <c r="C3" s="14" t="n">
        <v>0.1</v>
      </c>
      <c r="D3" s="14" t="n">
        <v>1</v>
      </c>
      <c r="E3" s="14" t="n">
        <v>43</v>
      </c>
      <c r="F3" s="15" t="n">
        <v>360.15</v>
      </c>
      <c r="G3" s="16" t="n">
        <v>10.001</v>
      </c>
    </row>
    <row r="4" customFormat="false" ht="15" hidden="false" customHeight="false" outlineLevel="0" collapsed="false">
      <c r="A4" s="10" t="s">
        <v>45</v>
      </c>
      <c r="B4" s="10" t="s">
        <v>46</v>
      </c>
      <c r="C4" s="10" t="n">
        <v>0.1</v>
      </c>
      <c r="D4" s="10" t="n">
        <v>2</v>
      </c>
      <c r="E4" s="10" t="n">
        <v>44</v>
      </c>
      <c r="F4" s="11" t="n">
        <v>360.15</v>
      </c>
      <c r="G4" s="12" t="n">
        <v>10</v>
      </c>
    </row>
    <row r="5" customFormat="false" ht="15" hidden="false" customHeight="false" outlineLevel="0" collapsed="false">
      <c r="A5" s="14" t="s">
        <v>45</v>
      </c>
      <c r="B5" s="14" t="s">
        <v>47</v>
      </c>
      <c r="C5" s="14" t="n">
        <v>0.1</v>
      </c>
      <c r="D5" s="14" t="n">
        <v>0</v>
      </c>
      <c r="E5" s="14" t="n">
        <v>42</v>
      </c>
      <c r="F5" s="15" t="n">
        <v>355.72</v>
      </c>
      <c r="G5" s="16" t="n">
        <v>10</v>
      </c>
    </row>
    <row r="6" customFormat="false" ht="15" hidden="false" customHeight="false" outlineLevel="0" collapsed="false">
      <c r="A6" s="10" t="s">
        <v>45</v>
      </c>
      <c r="B6" s="10" t="s">
        <v>47</v>
      </c>
      <c r="C6" s="10" t="n">
        <v>0.1</v>
      </c>
      <c r="D6" s="10" t="n">
        <v>1</v>
      </c>
      <c r="E6" s="10" t="n">
        <v>43</v>
      </c>
      <c r="F6" s="11" t="n">
        <v>355.72</v>
      </c>
      <c r="G6" s="12" t="n">
        <v>10.003</v>
      </c>
    </row>
    <row r="7" customFormat="false" ht="15" hidden="false" customHeight="false" outlineLevel="0" collapsed="false">
      <c r="A7" s="14" t="s">
        <v>45</v>
      </c>
      <c r="B7" s="14" t="s">
        <v>47</v>
      </c>
      <c r="C7" s="14" t="n">
        <v>0.1</v>
      </c>
      <c r="D7" s="14" t="n">
        <v>2</v>
      </c>
      <c r="E7" s="14" t="n">
        <v>44</v>
      </c>
      <c r="F7" s="15" t="n">
        <v>355.72</v>
      </c>
      <c r="G7" s="16" t="n">
        <v>10.004</v>
      </c>
    </row>
    <row r="8" customFormat="false" ht="15" hidden="false" customHeight="false" outlineLevel="0" collapsed="false">
      <c r="A8" s="10" t="s">
        <v>45</v>
      </c>
      <c r="B8" s="10" t="s">
        <v>48</v>
      </c>
      <c r="C8" s="10" t="n">
        <v>0.1</v>
      </c>
      <c r="D8" s="10" t="n">
        <v>0</v>
      </c>
      <c r="E8" s="10" t="n">
        <v>42</v>
      </c>
      <c r="F8" s="11" t="n">
        <v>355.5</v>
      </c>
      <c r="G8" s="12" t="n">
        <v>10.001</v>
      </c>
    </row>
    <row r="9" customFormat="false" ht="15" hidden="false" customHeight="false" outlineLevel="0" collapsed="false">
      <c r="A9" s="14" t="s">
        <v>45</v>
      </c>
      <c r="B9" s="14" t="s">
        <v>48</v>
      </c>
      <c r="C9" s="14" t="n">
        <v>0.1</v>
      </c>
      <c r="D9" s="14" t="n">
        <v>1</v>
      </c>
      <c r="E9" s="14" t="n">
        <v>43</v>
      </c>
      <c r="F9" s="15" t="n">
        <v>355.5</v>
      </c>
      <c r="G9" s="16" t="n">
        <v>10.001</v>
      </c>
    </row>
    <row r="10" customFormat="false" ht="15" hidden="false" customHeight="false" outlineLevel="0" collapsed="false">
      <c r="A10" s="10" t="s">
        <v>45</v>
      </c>
      <c r="B10" s="10" t="s">
        <v>48</v>
      </c>
      <c r="C10" s="10" t="n">
        <v>0.1</v>
      </c>
      <c r="D10" s="10" t="n">
        <v>2</v>
      </c>
      <c r="E10" s="10" t="n">
        <v>44</v>
      </c>
      <c r="F10" s="11" t="n">
        <v>355.5</v>
      </c>
      <c r="G10" s="12" t="n">
        <v>10.001</v>
      </c>
    </row>
    <row r="11" customFormat="false" ht="15" hidden="false" customHeight="false" outlineLevel="0" collapsed="false">
      <c r="A11" s="14" t="s">
        <v>45</v>
      </c>
      <c r="B11" s="14" t="s">
        <v>49</v>
      </c>
      <c r="C11" s="14" t="n">
        <v>0.1</v>
      </c>
      <c r="D11" s="14" t="n">
        <v>0</v>
      </c>
      <c r="E11" s="14" t="n">
        <v>42</v>
      </c>
      <c r="F11" s="15" t="n">
        <v>354.25</v>
      </c>
      <c r="G11" s="16" t="n">
        <v>10.001</v>
      </c>
    </row>
    <row r="12" customFormat="false" ht="15" hidden="false" customHeight="false" outlineLevel="0" collapsed="false">
      <c r="A12" s="10" t="s">
        <v>45</v>
      </c>
      <c r="B12" s="10" t="s">
        <v>49</v>
      </c>
      <c r="C12" s="10" t="n">
        <v>0.1</v>
      </c>
      <c r="D12" s="10" t="n">
        <v>1</v>
      </c>
      <c r="E12" s="10" t="n">
        <v>43</v>
      </c>
      <c r="F12" s="11" t="n">
        <v>354.25</v>
      </c>
      <c r="G12" s="12" t="n">
        <v>10.001</v>
      </c>
    </row>
    <row r="13" customFormat="false" ht="15" hidden="false" customHeight="false" outlineLevel="0" collapsed="false">
      <c r="A13" s="14" t="s">
        <v>45</v>
      </c>
      <c r="B13" s="14" t="s">
        <v>49</v>
      </c>
      <c r="C13" s="14" t="n">
        <v>0.1</v>
      </c>
      <c r="D13" s="14" t="n">
        <v>2</v>
      </c>
      <c r="E13" s="14" t="n">
        <v>44</v>
      </c>
      <c r="F13" s="15" t="n">
        <v>354.25</v>
      </c>
      <c r="G13" s="16" t="n">
        <v>10</v>
      </c>
    </row>
    <row r="14" customFormat="false" ht="15" hidden="false" customHeight="false" outlineLevel="0" collapsed="false">
      <c r="A14" s="10" t="s">
        <v>45</v>
      </c>
      <c r="B14" s="10" t="s">
        <v>50</v>
      </c>
      <c r="C14" s="10" t="n">
        <v>0.1</v>
      </c>
      <c r="D14" s="10" t="n">
        <v>0</v>
      </c>
      <c r="E14" s="10" t="n">
        <v>42</v>
      </c>
      <c r="F14" s="11" t="n">
        <v>356.06</v>
      </c>
      <c r="G14" s="12" t="n">
        <v>10.001</v>
      </c>
    </row>
    <row r="15" customFormat="false" ht="15" hidden="false" customHeight="false" outlineLevel="0" collapsed="false">
      <c r="A15" s="14" t="s">
        <v>45</v>
      </c>
      <c r="B15" s="14" t="s">
        <v>50</v>
      </c>
      <c r="C15" s="14" t="n">
        <v>0.1</v>
      </c>
      <c r="D15" s="14" t="n">
        <v>1</v>
      </c>
      <c r="E15" s="14" t="n">
        <v>43</v>
      </c>
      <c r="F15" s="15" t="n">
        <v>356.06</v>
      </c>
      <c r="G15" s="16" t="n">
        <v>10</v>
      </c>
    </row>
    <row r="16" customFormat="false" ht="15" hidden="false" customHeight="false" outlineLevel="0" collapsed="false">
      <c r="A16" s="10" t="s">
        <v>45</v>
      </c>
      <c r="B16" s="10" t="s">
        <v>50</v>
      </c>
      <c r="C16" s="10" t="n">
        <v>0.1</v>
      </c>
      <c r="D16" s="10" t="n">
        <v>2</v>
      </c>
      <c r="E16" s="10" t="n">
        <v>44</v>
      </c>
      <c r="F16" s="11" t="n">
        <v>356.06</v>
      </c>
      <c r="G16" s="12" t="n">
        <v>10</v>
      </c>
    </row>
    <row r="17" customFormat="false" ht="15" hidden="false" customHeight="false" outlineLevel="0" collapsed="false">
      <c r="A17" s="14" t="s">
        <v>45</v>
      </c>
      <c r="B17" s="14" t="s">
        <v>46</v>
      </c>
      <c r="C17" s="14" t="n">
        <v>0.25</v>
      </c>
      <c r="D17" s="14" t="n">
        <v>0</v>
      </c>
      <c r="E17" s="14" t="n">
        <v>42</v>
      </c>
      <c r="F17" s="15" t="n">
        <v>360.15</v>
      </c>
      <c r="G17" s="16" t="n">
        <v>10.004</v>
      </c>
    </row>
    <row r="18" customFormat="false" ht="15" hidden="false" customHeight="false" outlineLevel="0" collapsed="false">
      <c r="A18" s="10" t="s">
        <v>45</v>
      </c>
      <c r="B18" s="10" t="s">
        <v>46</v>
      </c>
      <c r="C18" s="10" t="n">
        <v>0.25</v>
      </c>
      <c r="D18" s="10" t="n">
        <v>1</v>
      </c>
      <c r="E18" s="10" t="n">
        <v>43</v>
      </c>
      <c r="F18" s="11" t="n">
        <v>360.15</v>
      </c>
      <c r="G18" s="12" t="n">
        <v>10</v>
      </c>
    </row>
    <row r="19" customFormat="false" ht="15" hidden="false" customHeight="false" outlineLevel="0" collapsed="false">
      <c r="A19" s="14" t="s">
        <v>45</v>
      </c>
      <c r="B19" s="14" t="s">
        <v>46</v>
      </c>
      <c r="C19" s="14" t="n">
        <v>0.25</v>
      </c>
      <c r="D19" s="14" t="n">
        <v>2</v>
      </c>
      <c r="E19" s="14" t="n">
        <v>44</v>
      </c>
      <c r="F19" s="15" t="n">
        <v>360.15</v>
      </c>
      <c r="G19" s="16" t="n">
        <v>10</v>
      </c>
    </row>
    <row r="20" customFormat="false" ht="15" hidden="false" customHeight="false" outlineLevel="0" collapsed="false">
      <c r="A20" s="10" t="s">
        <v>45</v>
      </c>
      <c r="B20" s="10" t="s">
        <v>47</v>
      </c>
      <c r="C20" s="10" t="n">
        <v>0.25</v>
      </c>
      <c r="D20" s="10" t="n">
        <v>0</v>
      </c>
      <c r="E20" s="10" t="n">
        <v>42</v>
      </c>
      <c r="F20" s="11" t="n">
        <v>355.72</v>
      </c>
      <c r="G20" s="12" t="n">
        <v>10.002</v>
      </c>
    </row>
    <row r="21" customFormat="false" ht="15" hidden="false" customHeight="false" outlineLevel="0" collapsed="false">
      <c r="A21" s="14" t="s">
        <v>45</v>
      </c>
      <c r="B21" s="14" t="s">
        <v>47</v>
      </c>
      <c r="C21" s="14" t="n">
        <v>0.25</v>
      </c>
      <c r="D21" s="14" t="n">
        <v>1</v>
      </c>
      <c r="E21" s="14" t="n">
        <v>43</v>
      </c>
      <c r="F21" s="15" t="n">
        <v>355.72</v>
      </c>
      <c r="G21" s="16" t="n">
        <v>10.003</v>
      </c>
    </row>
    <row r="22" customFormat="false" ht="15" hidden="false" customHeight="false" outlineLevel="0" collapsed="false">
      <c r="A22" s="10" t="s">
        <v>45</v>
      </c>
      <c r="B22" s="10" t="s">
        <v>47</v>
      </c>
      <c r="C22" s="10" t="n">
        <v>0.25</v>
      </c>
      <c r="D22" s="10" t="n">
        <v>2</v>
      </c>
      <c r="E22" s="10" t="n">
        <v>44</v>
      </c>
      <c r="F22" s="11" t="n">
        <v>355.72</v>
      </c>
      <c r="G22" s="12" t="n">
        <v>10.002</v>
      </c>
    </row>
    <row r="23" customFormat="false" ht="15" hidden="false" customHeight="false" outlineLevel="0" collapsed="false">
      <c r="A23" s="14" t="s">
        <v>45</v>
      </c>
      <c r="B23" s="14" t="s">
        <v>48</v>
      </c>
      <c r="C23" s="14" t="n">
        <v>0.25</v>
      </c>
      <c r="D23" s="14" t="n">
        <v>0</v>
      </c>
      <c r="E23" s="14" t="n">
        <v>42</v>
      </c>
      <c r="F23" s="15" t="n">
        <v>355.5</v>
      </c>
      <c r="G23" s="16" t="n">
        <v>10</v>
      </c>
    </row>
    <row r="24" customFormat="false" ht="15" hidden="false" customHeight="false" outlineLevel="0" collapsed="false">
      <c r="A24" s="10" t="s">
        <v>45</v>
      </c>
      <c r="B24" s="10" t="s">
        <v>48</v>
      </c>
      <c r="C24" s="10" t="n">
        <v>0.25</v>
      </c>
      <c r="D24" s="10" t="n">
        <v>1</v>
      </c>
      <c r="E24" s="10" t="n">
        <v>43</v>
      </c>
      <c r="F24" s="11" t="n">
        <v>355.5</v>
      </c>
      <c r="G24" s="12" t="n">
        <v>10</v>
      </c>
    </row>
    <row r="25" customFormat="false" ht="15" hidden="false" customHeight="false" outlineLevel="0" collapsed="false">
      <c r="A25" s="14" t="s">
        <v>45</v>
      </c>
      <c r="B25" s="14" t="s">
        <v>48</v>
      </c>
      <c r="C25" s="14" t="n">
        <v>0.25</v>
      </c>
      <c r="D25" s="14" t="n">
        <v>2</v>
      </c>
      <c r="E25" s="14" t="n">
        <v>44</v>
      </c>
      <c r="F25" s="15" t="n">
        <v>355.5</v>
      </c>
      <c r="G25" s="16" t="n">
        <v>10.003</v>
      </c>
    </row>
    <row r="26" customFormat="false" ht="15" hidden="false" customHeight="false" outlineLevel="0" collapsed="false">
      <c r="A26" s="10" t="s">
        <v>45</v>
      </c>
      <c r="B26" s="10" t="s">
        <v>49</v>
      </c>
      <c r="C26" s="10" t="n">
        <v>0.25</v>
      </c>
      <c r="D26" s="10" t="n">
        <v>0</v>
      </c>
      <c r="E26" s="10" t="n">
        <v>42</v>
      </c>
      <c r="F26" s="11" t="n">
        <v>354.25</v>
      </c>
      <c r="G26" s="12" t="n">
        <v>10.001</v>
      </c>
    </row>
    <row r="27" customFormat="false" ht="15" hidden="false" customHeight="false" outlineLevel="0" collapsed="false">
      <c r="A27" s="14" t="s">
        <v>45</v>
      </c>
      <c r="B27" s="14" t="s">
        <v>49</v>
      </c>
      <c r="C27" s="14" t="n">
        <v>0.25</v>
      </c>
      <c r="D27" s="14" t="n">
        <v>1</v>
      </c>
      <c r="E27" s="14" t="n">
        <v>43</v>
      </c>
      <c r="F27" s="15" t="n">
        <v>354.25</v>
      </c>
      <c r="G27" s="16" t="n">
        <v>10.001</v>
      </c>
    </row>
    <row r="28" customFormat="false" ht="15" hidden="false" customHeight="false" outlineLevel="0" collapsed="false">
      <c r="A28" s="10" t="s">
        <v>45</v>
      </c>
      <c r="B28" s="10" t="s">
        <v>49</v>
      </c>
      <c r="C28" s="10" t="n">
        <v>0.25</v>
      </c>
      <c r="D28" s="10" t="n">
        <v>2</v>
      </c>
      <c r="E28" s="10" t="n">
        <v>44</v>
      </c>
      <c r="F28" s="11" t="n">
        <v>354.25</v>
      </c>
      <c r="G28" s="12" t="n">
        <v>10</v>
      </c>
    </row>
    <row r="29" customFormat="false" ht="15" hidden="false" customHeight="false" outlineLevel="0" collapsed="false">
      <c r="A29" s="14" t="s">
        <v>45</v>
      </c>
      <c r="B29" s="14" t="s">
        <v>50</v>
      </c>
      <c r="C29" s="14" t="n">
        <v>0.25</v>
      </c>
      <c r="D29" s="14" t="n">
        <v>0</v>
      </c>
      <c r="E29" s="14" t="n">
        <v>42</v>
      </c>
      <c r="F29" s="15" t="n">
        <v>356.06</v>
      </c>
      <c r="G29" s="16" t="n">
        <v>10.001</v>
      </c>
    </row>
    <row r="30" customFormat="false" ht="15" hidden="false" customHeight="false" outlineLevel="0" collapsed="false">
      <c r="A30" s="10" t="s">
        <v>45</v>
      </c>
      <c r="B30" s="10" t="s">
        <v>50</v>
      </c>
      <c r="C30" s="10" t="n">
        <v>0.25</v>
      </c>
      <c r="D30" s="10" t="n">
        <v>1</v>
      </c>
      <c r="E30" s="10" t="n">
        <v>43</v>
      </c>
      <c r="F30" s="11" t="n">
        <v>356.06</v>
      </c>
      <c r="G30" s="12" t="n">
        <v>10</v>
      </c>
    </row>
    <row r="31" customFormat="false" ht="15" hidden="false" customHeight="false" outlineLevel="0" collapsed="false">
      <c r="A31" s="14" t="s">
        <v>45</v>
      </c>
      <c r="B31" s="14" t="s">
        <v>50</v>
      </c>
      <c r="C31" s="14" t="n">
        <v>0.25</v>
      </c>
      <c r="D31" s="14" t="n">
        <v>2</v>
      </c>
      <c r="E31" s="14" t="n">
        <v>44</v>
      </c>
      <c r="F31" s="15" t="n">
        <v>356.06</v>
      </c>
      <c r="G31" s="16" t="n">
        <v>10</v>
      </c>
    </row>
    <row r="32" customFormat="false" ht="15" hidden="false" customHeight="false" outlineLevel="0" collapsed="false">
      <c r="A32" s="10" t="s">
        <v>45</v>
      </c>
      <c r="B32" s="10" t="s">
        <v>46</v>
      </c>
      <c r="C32" s="10" t="n">
        <v>0.5</v>
      </c>
      <c r="D32" s="10" t="n">
        <v>0</v>
      </c>
      <c r="E32" s="10" t="n">
        <v>42</v>
      </c>
      <c r="F32" s="11" t="n">
        <v>360.15</v>
      </c>
      <c r="G32" s="12" t="n">
        <v>10.003</v>
      </c>
    </row>
    <row r="33" customFormat="false" ht="15" hidden="false" customHeight="false" outlineLevel="0" collapsed="false">
      <c r="A33" s="14" t="s">
        <v>45</v>
      </c>
      <c r="B33" s="14" t="s">
        <v>46</v>
      </c>
      <c r="C33" s="14" t="n">
        <v>0.5</v>
      </c>
      <c r="D33" s="14" t="n">
        <v>1</v>
      </c>
      <c r="E33" s="14" t="n">
        <v>43</v>
      </c>
      <c r="F33" s="15" t="n">
        <v>360.15</v>
      </c>
      <c r="G33" s="16" t="n">
        <v>10.002</v>
      </c>
    </row>
    <row r="34" customFormat="false" ht="15" hidden="false" customHeight="false" outlineLevel="0" collapsed="false">
      <c r="A34" s="10" t="s">
        <v>45</v>
      </c>
      <c r="B34" s="10" t="s">
        <v>46</v>
      </c>
      <c r="C34" s="10" t="n">
        <v>0.5</v>
      </c>
      <c r="D34" s="10" t="n">
        <v>2</v>
      </c>
      <c r="E34" s="10" t="n">
        <v>44</v>
      </c>
      <c r="F34" s="11" t="n">
        <v>360.15</v>
      </c>
      <c r="G34" s="12" t="n">
        <v>10.006</v>
      </c>
    </row>
    <row r="35" customFormat="false" ht="15" hidden="false" customHeight="false" outlineLevel="0" collapsed="false">
      <c r="A35" s="14" t="s">
        <v>45</v>
      </c>
      <c r="B35" s="14" t="s">
        <v>47</v>
      </c>
      <c r="C35" s="14" t="n">
        <v>0.5</v>
      </c>
      <c r="D35" s="14" t="n">
        <v>0</v>
      </c>
      <c r="E35" s="14" t="n">
        <v>42</v>
      </c>
      <c r="F35" s="15" t="n">
        <v>355.72</v>
      </c>
      <c r="G35" s="16" t="n">
        <v>10.003</v>
      </c>
    </row>
    <row r="36" customFormat="false" ht="15" hidden="false" customHeight="false" outlineLevel="0" collapsed="false">
      <c r="A36" s="10" t="s">
        <v>45</v>
      </c>
      <c r="B36" s="10" t="s">
        <v>47</v>
      </c>
      <c r="C36" s="10" t="n">
        <v>0.5</v>
      </c>
      <c r="D36" s="10" t="n">
        <v>1</v>
      </c>
      <c r="E36" s="10" t="n">
        <v>43</v>
      </c>
      <c r="F36" s="11" t="n">
        <v>355.72</v>
      </c>
      <c r="G36" s="12" t="n">
        <v>10</v>
      </c>
    </row>
    <row r="37" customFormat="false" ht="15" hidden="false" customHeight="false" outlineLevel="0" collapsed="false">
      <c r="A37" s="14" t="s">
        <v>45</v>
      </c>
      <c r="B37" s="14" t="s">
        <v>47</v>
      </c>
      <c r="C37" s="14" t="n">
        <v>0.5</v>
      </c>
      <c r="D37" s="14" t="n">
        <v>2</v>
      </c>
      <c r="E37" s="14" t="n">
        <v>44</v>
      </c>
      <c r="F37" s="15" t="n">
        <v>355.72</v>
      </c>
      <c r="G37" s="16" t="n">
        <v>10.002</v>
      </c>
    </row>
    <row r="38" customFormat="false" ht="15" hidden="false" customHeight="false" outlineLevel="0" collapsed="false">
      <c r="A38" s="10" t="s">
        <v>45</v>
      </c>
      <c r="B38" s="10" t="s">
        <v>48</v>
      </c>
      <c r="C38" s="10" t="n">
        <v>0.5</v>
      </c>
      <c r="D38" s="10" t="n">
        <v>0</v>
      </c>
      <c r="E38" s="10" t="n">
        <v>42</v>
      </c>
      <c r="F38" s="11" t="n">
        <v>355.5</v>
      </c>
      <c r="G38" s="12" t="n">
        <v>10.001</v>
      </c>
    </row>
    <row r="39" customFormat="false" ht="15" hidden="false" customHeight="false" outlineLevel="0" collapsed="false">
      <c r="A39" s="14" t="s">
        <v>45</v>
      </c>
      <c r="B39" s="14" t="s">
        <v>48</v>
      </c>
      <c r="C39" s="14" t="n">
        <v>0.5</v>
      </c>
      <c r="D39" s="14" t="n">
        <v>1</v>
      </c>
      <c r="E39" s="14" t="n">
        <v>43</v>
      </c>
      <c r="F39" s="15" t="n">
        <v>355.5</v>
      </c>
      <c r="G39" s="16" t="n">
        <v>10.005</v>
      </c>
    </row>
    <row r="40" customFormat="false" ht="15" hidden="false" customHeight="false" outlineLevel="0" collapsed="false">
      <c r="A40" s="10" t="s">
        <v>45</v>
      </c>
      <c r="B40" s="10" t="s">
        <v>48</v>
      </c>
      <c r="C40" s="10" t="n">
        <v>0.5</v>
      </c>
      <c r="D40" s="10" t="n">
        <v>2</v>
      </c>
      <c r="E40" s="10" t="n">
        <v>44</v>
      </c>
      <c r="F40" s="11" t="n">
        <v>355.5</v>
      </c>
      <c r="G40" s="12" t="n">
        <v>10.002</v>
      </c>
    </row>
    <row r="41" customFormat="false" ht="15" hidden="false" customHeight="false" outlineLevel="0" collapsed="false">
      <c r="A41" s="14" t="s">
        <v>45</v>
      </c>
      <c r="B41" s="14" t="s">
        <v>49</v>
      </c>
      <c r="C41" s="14" t="n">
        <v>0.5</v>
      </c>
      <c r="D41" s="14" t="n">
        <v>0</v>
      </c>
      <c r="E41" s="14" t="n">
        <v>42</v>
      </c>
      <c r="F41" s="15" t="n">
        <v>354.25</v>
      </c>
      <c r="G41" s="16" t="n">
        <v>10.002</v>
      </c>
    </row>
    <row r="42" customFormat="false" ht="15" hidden="false" customHeight="false" outlineLevel="0" collapsed="false">
      <c r="A42" s="10" t="s">
        <v>45</v>
      </c>
      <c r="B42" s="10" t="s">
        <v>49</v>
      </c>
      <c r="C42" s="10" t="n">
        <v>0.5</v>
      </c>
      <c r="D42" s="10" t="n">
        <v>1</v>
      </c>
      <c r="E42" s="10" t="n">
        <v>43</v>
      </c>
      <c r="F42" s="11" t="n">
        <v>354.25</v>
      </c>
      <c r="G42" s="12" t="n">
        <v>10.002</v>
      </c>
    </row>
    <row r="43" customFormat="false" ht="15" hidden="false" customHeight="false" outlineLevel="0" collapsed="false">
      <c r="A43" s="14" t="s">
        <v>45</v>
      </c>
      <c r="B43" s="14" t="s">
        <v>49</v>
      </c>
      <c r="C43" s="14" t="n">
        <v>0.5</v>
      </c>
      <c r="D43" s="14" t="n">
        <v>2</v>
      </c>
      <c r="E43" s="14" t="n">
        <v>44</v>
      </c>
      <c r="F43" s="15" t="n">
        <v>354.25</v>
      </c>
      <c r="G43" s="16" t="n">
        <v>10.002</v>
      </c>
    </row>
    <row r="44" customFormat="false" ht="15" hidden="false" customHeight="false" outlineLevel="0" collapsed="false">
      <c r="A44" s="10" t="s">
        <v>45</v>
      </c>
      <c r="B44" s="10" t="s">
        <v>50</v>
      </c>
      <c r="C44" s="10" t="n">
        <v>0.5</v>
      </c>
      <c r="D44" s="10" t="n">
        <v>0</v>
      </c>
      <c r="E44" s="10" t="n">
        <v>42</v>
      </c>
      <c r="F44" s="11" t="n">
        <v>356.06</v>
      </c>
      <c r="G44" s="12" t="n">
        <v>10.003</v>
      </c>
    </row>
    <row r="45" customFormat="false" ht="15" hidden="false" customHeight="false" outlineLevel="0" collapsed="false">
      <c r="A45" s="14" t="s">
        <v>45</v>
      </c>
      <c r="B45" s="14" t="s">
        <v>50</v>
      </c>
      <c r="C45" s="14" t="n">
        <v>0.5</v>
      </c>
      <c r="D45" s="14" t="n">
        <v>1</v>
      </c>
      <c r="E45" s="14" t="n">
        <v>43</v>
      </c>
      <c r="F45" s="15" t="n">
        <v>356.06</v>
      </c>
      <c r="G45" s="16" t="n">
        <v>10.001</v>
      </c>
    </row>
    <row r="46" customFormat="false" ht="15" hidden="false" customHeight="false" outlineLevel="0" collapsed="false">
      <c r="A46" s="10" t="s">
        <v>45</v>
      </c>
      <c r="B46" s="10" t="s">
        <v>50</v>
      </c>
      <c r="C46" s="10" t="n">
        <v>0.5</v>
      </c>
      <c r="D46" s="10" t="n">
        <v>2</v>
      </c>
      <c r="E46" s="10" t="n">
        <v>44</v>
      </c>
      <c r="F46" s="11" t="n">
        <v>356.06</v>
      </c>
      <c r="G46" s="12" t="n">
        <v>10.002</v>
      </c>
    </row>
    <row r="47" customFormat="false" ht="15" hidden="false" customHeight="false" outlineLevel="0" collapsed="false">
      <c r="A47" s="14" t="s">
        <v>45</v>
      </c>
      <c r="B47" s="14" t="s">
        <v>46</v>
      </c>
      <c r="C47" s="14" t="n">
        <v>0.75</v>
      </c>
      <c r="D47" s="14" t="n">
        <v>0</v>
      </c>
      <c r="E47" s="14" t="n">
        <v>42</v>
      </c>
      <c r="F47" s="15" t="n">
        <v>360.15</v>
      </c>
      <c r="G47" s="16" t="n">
        <v>10.001</v>
      </c>
    </row>
    <row r="48" customFormat="false" ht="15" hidden="false" customHeight="false" outlineLevel="0" collapsed="false">
      <c r="A48" s="10" t="s">
        <v>45</v>
      </c>
      <c r="B48" s="10" t="s">
        <v>46</v>
      </c>
      <c r="C48" s="10" t="n">
        <v>0.75</v>
      </c>
      <c r="D48" s="10" t="n">
        <v>1</v>
      </c>
      <c r="E48" s="10" t="n">
        <v>43</v>
      </c>
      <c r="F48" s="11" t="n">
        <v>360.15</v>
      </c>
      <c r="G48" s="12" t="n">
        <v>10.002</v>
      </c>
    </row>
    <row r="49" customFormat="false" ht="15" hidden="false" customHeight="false" outlineLevel="0" collapsed="false">
      <c r="A49" s="14" t="s">
        <v>45</v>
      </c>
      <c r="B49" s="14" t="s">
        <v>46</v>
      </c>
      <c r="C49" s="14" t="n">
        <v>0.75</v>
      </c>
      <c r="D49" s="14" t="n">
        <v>2</v>
      </c>
      <c r="E49" s="14" t="n">
        <v>44</v>
      </c>
      <c r="F49" s="15" t="n">
        <v>360.15</v>
      </c>
      <c r="G49" s="16" t="n">
        <v>10.005</v>
      </c>
    </row>
    <row r="50" customFormat="false" ht="15" hidden="false" customHeight="false" outlineLevel="0" collapsed="false">
      <c r="A50" s="10" t="s">
        <v>45</v>
      </c>
      <c r="B50" s="10" t="s">
        <v>47</v>
      </c>
      <c r="C50" s="10" t="n">
        <v>0.75</v>
      </c>
      <c r="D50" s="10" t="n">
        <v>0</v>
      </c>
      <c r="E50" s="10" t="n">
        <v>42</v>
      </c>
      <c r="F50" s="11" t="n">
        <v>355.72</v>
      </c>
      <c r="G50" s="12" t="n">
        <v>10.004</v>
      </c>
    </row>
    <row r="51" customFormat="false" ht="15" hidden="false" customHeight="false" outlineLevel="0" collapsed="false">
      <c r="A51" s="14" t="s">
        <v>45</v>
      </c>
      <c r="B51" s="14" t="s">
        <v>47</v>
      </c>
      <c r="C51" s="14" t="n">
        <v>0.75</v>
      </c>
      <c r="D51" s="14" t="n">
        <v>1</v>
      </c>
      <c r="E51" s="14" t="n">
        <v>43</v>
      </c>
      <c r="F51" s="15" t="n">
        <v>355.72</v>
      </c>
      <c r="G51" s="16" t="n">
        <v>10.001</v>
      </c>
    </row>
    <row r="52" customFormat="false" ht="15" hidden="false" customHeight="false" outlineLevel="0" collapsed="false">
      <c r="A52" s="10" t="s">
        <v>45</v>
      </c>
      <c r="B52" s="10" t="s">
        <v>47</v>
      </c>
      <c r="C52" s="10" t="n">
        <v>0.75</v>
      </c>
      <c r="D52" s="10" t="n">
        <v>2</v>
      </c>
      <c r="E52" s="10" t="n">
        <v>44</v>
      </c>
      <c r="F52" s="11" t="n">
        <v>355.72</v>
      </c>
      <c r="G52" s="12" t="n">
        <v>10.003</v>
      </c>
    </row>
    <row r="53" customFormat="false" ht="15" hidden="false" customHeight="false" outlineLevel="0" collapsed="false">
      <c r="A53" s="14" t="s">
        <v>45</v>
      </c>
      <c r="B53" s="14" t="s">
        <v>48</v>
      </c>
      <c r="C53" s="14" t="n">
        <v>0.75</v>
      </c>
      <c r="D53" s="14" t="n">
        <v>0</v>
      </c>
      <c r="E53" s="14" t="n">
        <v>42</v>
      </c>
      <c r="F53" s="15" t="n">
        <v>355.5</v>
      </c>
      <c r="G53" s="16" t="n">
        <v>10</v>
      </c>
    </row>
    <row r="54" customFormat="false" ht="15" hidden="false" customHeight="false" outlineLevel="0" collapsed="false">
      <c r="A54" s="10" t="s">
        <v>45</v>
      </c>
      <c r="B54" s="10" t="s">
        <v>48</v>
      </c>
      <c r="C54" s="10" t="n">
        <v>0.75</v>
      </c>
      <c r="D54" s="10" t="n">
        <v>1</v>
      </c>
      <c r="E54" s="10" t="n">
        <v>43</v>
      </c>
      <c r="F54" s="11" t="n">
        <v>355.5</v>
      </c>
      <c r="G54" s="12" t="n">
        <v>10.004</v>
      </c>
    </row>
    <row r="55" customFormat="false" ht="15" hidden="false" customHeight="false" outlineLevel="0" collapsed="false">
      <c r="A55" s="14" t="s">
        <v>45</v>
      </c>
      <c r="B55" s="14" t="s">
        <v>48</v>
      </c>
      <c r="C55" s="14" t="n">
        <v>0.75</v>
      </c>
      <c r="D55" s="14" t="n">
        <v>2</v>
      </c>
      <c r="E55" s="14" t="n">
        <v>44</v>
      </c>
      <c r="F55" s="15" t="n">
        <v>355.5</v>
      </c>
      <c r="G55" s="16" t="n">
        <v>10.002</v>
      </c>
    </row>
    <row r="56" customFormat="false" ht="15" hidden="false" customHeight="false" outlineLevel="0" collapsed="false">
      <c r="A56" s="10" t="s">
        <v>45</v>
      </c>
      <c r="B56" s="10" t="s">
        <v>49</v>
      </c>
      <c r="C56" s="10" t="n">
        <v>0.75</v>
      </c>
      <c r="D56" s="10" t="n">
        <v>0</v>
      </c>
      <c r="E56" s="10" t="n">
        <v>42</v>
      </c>
      <c r="F56" s="11" t="n">
        <v>354.25</v>
      </c>
      <c r="G56" s="12" t="n">
        <v>10.002</v>
      </c>
    </row>
    <row r="57" customFormat="false" ht="15" hidden="false" customHeight="false" outlineLevel="0" collapsed="false">
      <c r="A57" s="14" t="s">
        <v>45</v>
      </c>
      <c r="B57" s="14" t="s">
        <v>49</v>
      </c>
      <c r="C57" s="14" t="n">
        <v>0.75</v>
      </c>
      <c r="D57" s="14" t="n">
        <v>1</v>
      </c>
      <c r="E57" s="14" t="n">
        <v>43</v>
      </c>
      <c r="F57" s="15" t="n">
        <v>354.25</v>
      </c>
      <c r="G57" s="16" t="n">
        <v>10.001</v>
      </c>
    </row>
    <row r="58" customFormat="false" ht="15" hidden="false" customHeight="false" outlineLevel="0" collapsed="false">
      <c r="A58" s="10" t="s">
        <v>45</v>
      </c>
      <c r="B58" s="10" t="s">
        <v>49</v>
      </c>
      <c r="C58" s="10" t="n">
        <v>0.75</v>
      </c>
      <c r="D58" s="10" t="n">
        <v>2</v>
      </c>
      <c r="E58" s="10" t="n">
        <v>44</v>
      </c>
      <c r="F58" s="11" t="n">
        <v>354.25</v>
      </c>
      <c r="G58" s="12" t="n">
        <v>10.004</v>
      </c>
    </row>
    <row r="59" customFormat="false" ht="15" hidden="false" customHeight="false" outlineLevel="0" collapsed="false">
      <c r="A59" s="14" t="s">
        <v>45</v>
      </c>
      <c r="B59" s="14" t="s">
        <v>50</v>
      </c>
      <c r="C59" s="14" t="n">
        <v>0.75</v>
      </c>
      <c r="D59" s="14" t="n">
        <v>0</v>
      </c>
      <c r="E59" s="14" t="n">
        <v>42</v>
      </c>
      <c r="F59" s="15" t="n">
        <v>356.06</v>
      </c>
      <c r="G59" s="16" t="n">
        <v>10</v>
      </c>
    </row>
    <row r="60" customFormat="false" ht="15" hidden="false" customHeight="false" outlineLevel="0" collapsed="false">
      <c r="A60" s="10" t="s">
        <v>45</v>
      </c>
      <c r="B60" s="10" t="s">
        <v>50</v>
      </c>
      <c r="C60" s="10" t="n">
        <v>0.75</v>
      </c>
      <c r="D60" s="10" t="n">
        <v>1</v>
      </c>
      <c r="E60" s="10" t="n">
        <v>43</v>
      </c>
      <c r="F60" s="11" t="n">
        <v>356.06</v>
      </c>
      <c r="G60" s="12" t="n">
        <v>10.006</v>
      </c>
    </row>
    <row r="61" customFormat="false" ht="15" hidden="false" customHeight="false" outlineLevel="0" collapsed="false">
      <c r="A61" s="14" t="s">
        <v>45</v>
      </c>
      <c r="B61" s="14" t="s">
        <v>50</v>
      </c>
      <c r="C61" s="14" t="n">
        <v>0.75</v>
      </c>
      <c r="D61" s="14" t="n">
        <v>2</v>
      </c>
      <c r="E61" s="14" t="n">
        <v>44</v>
      </c>
      <c r="F61" s="15" t="n">
        <v>356.06</v>
      </c>
      <c r="G61" s="16" t="n">
        <v>10.002</v>
      </c>
    </row>
    <row r="62" customFormat="false" ht="15" hidden="false" customHeight="false" outlineLevel="0" collapsed="false">
      <c r="A62" s="10" t="s">
        <v>45</v>
      </c>
      <c r="B62" s="10" t="s">
        <v>46</v>
      </c>
      <c r="C62" s="10" t="n">
        <v>0.9</v>
      </c>
      <c r="D62" s="10" t="n">
        <v>0</v>
      </c>
      <c r="E62" s="10" t="n">
        <v>42</v>
      </c>
      <c r="F62" s="11" t="n">
        <v>360.15</v>
      </c>
      <c r="G62" s="12" t="n">
        <v>10.003</v>
      </c>
    </row>
    <row r="63" customFormat="false" ht="15" hidden="false" customHeight="false" outlineLevel="0" collapsed="false">
      <c r="A63" s="14" t="s">
        <v>45</v>
      </c>
      <c r="B63" s="14" t="s">
        <v>46</v>
      </c>
      <c r="C63" s="14" t="n">
        <v>0.9</v>
      </c>
      <c r="D63" s="14" t="n">
        <v>1</v>
      </c>
      <c r="E63" s="14" t="n">
        <v>43</v>
      </c>
      <c r="F63" s="15" t="n">
        <v>360.15</v>
      </c>
      <c r="G63" s="16" t="n">
        <v>10.002</v>
      </c>
    </row>
    <row r="64" customFormat="false" ht="15" hidden="false" customHeight="false" outlineLevel="0" collapsed="false">
      <c r="A64" s="10" t="s">
        <v>45</v>
      </c>
      <c r="B64" s="10" t="s">
        <v>46</v>
      </c>
      <c r="C64" s="10" t="n">
        <v>0.9</v>
      </c>
      <c r="D64" s="10" t="n">
        <v>2</v>
      </c>
      <c r="E64" s="10" t="n">
        <v>44</v>
      </c>
      <c r="F64" s="11" t="n">
        <v>360.15</v>
      </c>
      <c r="G64" s="12" t="n">
        <v>10.004</v>
      </c>
    </row>
    <row r="65" customFormat="false" ht="15" hidden="false" customHeight="false" outlineLevel="0" collapsed="false">
      <c r="A65" s="14" t="s">
        <v>45</v>
      </c>
      <c r="B65" s="14" t="s">
        <v>47</v>
      </c>
      <c r="C65" s="14" t="n">
        <v>0.9</v>
      </c>
      <c r="D65" s="14" t="n">
        <v>0</v>
      </c>
      <c r="E65" s="14" t="n">
        <v>42</v>
      </c>
      <c r="F65" s="15" t="n">
        <v>355.72</v>
      </c>
      <c r="G65" s="16" t="n">
        <v>10.001</v>
      </c>
    </row>
    <row r="66" customFormat="false" ht="15" hidden="false" customHeight="false" outlineLevel="0" collapsed="false">
      <c r="A66" s="10" t="s">
        <v>45</v>
      </c>
      <c r="B66" s="10" t="s">
        <v>47</v>
      </c>
      <c r="C66" s="10" t="n">
        <v>0.9</v>
      </c>
      <c r="D66" s="10" t="n">
        <v>1</v>
      </c>
      <c r="E66" s="10" t="n">
        <v>43</v>
      </c>
      <c r="F66" s="11" t="n">
        <v>355.72</v>
      </c>
      <c r="G66" s="12" t="n">
        <v>10.004</v>
      </c>
    </row>
    <row r="67" customFormat="false" ht="15" hidden="false" customHeight="false" outlineLevel="0" collapsed="false">
      <c r="A67" s="14" t="s">
        <v>45</v>
      </c>
      <c r="B67" s="14" t="s">
        <v>47</v>
      </c>
      <c r="C67" s="14" t="n">
        <v>0.9</v>
      </c>
      <c r="D67" s="14" t="n">
        <v>2</v>
      </c>
      <c r="E67" s="14" t="n">
        <v>44</v>
      </c>
      <c r="F67" s="15" t="n">
        <v>355.72</v>
      </c>
      <c r="G67" s="16" t="n">
        <v>10</v>
      </c>
    </row>
    <row r="68" customFormat="false" ht="15" hidden="false" customHeight="false" outlineLevel="0" collapsed="false">
      <c r="A68" s="10" t="s">
        <v>45</v>
      </c>
      <c r="B68" s="10" t="s">
        <v>48</v>
      </c>
      <c r="C68" s="10" t="n">
        <v>0.9</v>
      </c>
      <c r="D68" s="10" t="n">
        <v>0</v>
      </c>
      <c r="E68" s="10" t="n">
        <v>42</v>
      </c>
      <c r="F68" s="11" t="n">
        <v>355.5</v>
      </c>
      <c r="G68" s="12" t="n">
        <v>10.002</v>
      </c>
    </row>
    <row r="69" customFormat="false" ht="15" hidden="false" customHeight="false" outlineLevel="0" collapsed="false">
      <c r="A69" s="14" t="s">
        <v>45</v>
      </c>
      <c r="B69" s="14" t="s">
        <v>48</v>
      </c>
      <c r="C69" s="14" t="n">
        <v>0.9</v>
      </c>
      <c r="D69" s="14" t="n">
        <v>1</v>
      </c>
      <c r="E69" s="14" t="n">
        <v>43</v>
      </c>
      <c r="F69" s="15" t="n">
        <v>355.5</v>
      </c>
      <c r="G69" s="16" t="n">
        <v>10.002</v>
      </c>
    </row>
    <row r="70" customFormat="false" ht="15" hidden="false" customHeight="false" outlineLevel="0" collapsed="false">
      <c r="A70" s="10" t="s">
        <v>45</v>
      </c>
      <c r="B70" s="10" t="s">
        <v>48</v>
      </c>
      <c r="C70" s="10" t="n">
        <v>0.9</v>
      </c>
      <c r="D70" s="10" t="n">
        <v>2</v>
      </c>
      <c r="E70" s="10" t="n">
        <v>44</v>
      </c>
      <c r="F70" s="11" t="n">
        <v>355.5</v>
      </c>
      <c r="G70" s="12" t="n">
        <v>10.004</v>
      </c>
    </row>
    <row r="71" customFormat="false" ht="15" hidden="false" customHeight="false" outlineLevel="0" collapsed="false">
      <c r="A71" s="14" t="s">
        <v>45</v>
      </c>
      <c r="B71" s="14" t="s">
        <v>49</v>
      </c>
      <c r="C71" s="14" t="n">
        <v>0.9</v>
      </c>
      <c r="D71" s="14" t="n">
        <v>0</v>
      </c>
      <c r="E71" s="14" t="n">
        <v>42</v>
      </c>
      <c r="F71" s="15" t="n">
        <v>354.25</v>
      </c>
      <c r="G71" s="16" t="n">
        <v>10.002</v>
      </c>
    </row>
    <row r="72" customFormat="false" ht="15" hidden="false" customHeight="false" outlineLevel="0" collapsed="false">
      <c r="A72" s="10" t="s">
        <v>45</v>
      </c>
      <c r="B72" s="10" t="s">
        <v>49</v>
      </c>
      <c r="C72" s="10" t="n">
        <v>0.9</v>
      </c>
      <c r="D72" s="10" t="n">
        <v>1</v>
      </c>
      <c r="E72" s="10" t="n">
        <v>43</v>
      </c>
      <c r="F72" s="11" t="n">
        <v>354.25</v>
      </c>
      <c r="G72" s="12" t="n">
        <v>10.002</v>
      </c>
    </row>
    <row r="73" customFormat="false" ht="15" hidden="false" customHeight="false" outlineLevel="0" collapsed="false">
      <c r="A73" s="14" t="s">
        <v>45</v>
      </c>
      <c r="B73" s="14" t="s">
        <v>49</v>
      </c>
      <c r="C73" s="14" t="n">
        <v>0.9</v>
      </c>
      <c r="D73" s="14" t="n">
        <v>2</v>
      </c>
      <c r="E73" s="14" t="n">
        <v>44</v>
      </c>
      <c r="F73" s="15" t="n">
        <v>354.25</v>
      </c>
      <c r="G73" s="16" t="n">
        <v>10.001</v>
      </c>
    </row>
    <row r="74" customFormat="false" ht="15" hidden="false" customHeight="false" outlineLevel="0" collapsed="false">
      <c r="A74" s="10" t="s">
        <v>45</v>
      </c>
      <c r="B74" s="10" t="s">
        <v>50</v>
      </c>
      <c r="C74" s="10" t="n">
        <v>0.9</v>
      </c>
      <c r="D74" s="10" t="n">
        <v>0</v>
      </c>
      <c r="E74" s="10" t="n">
        <v>42</v>
      </c>
      <c r="F74" s="11" t="n">
        <v>356.06</v>
      </c>
      <c r="G74" s="12" t="n">
        <v>10.003</v>
      </c>
    </row>
    <row r="75" customFormat="false" ht="15" hidden="false" customHeight="false" outlineLevel="0" collapsed="false">
      <c r="A75" s="14" t="s">
        <v>45</v>
      </c>
      <c r="B75" s="14" t="s">
        <v>50</v>
      </c>
      <c r="C75" s="14" t="n">
        <v>0.9</v>
      </c>
      <c r="D75" s="14" t="n">
        <v>1</v>
      </c>
      <c r="E75" s="14" t="n">
        <v>43</v>
      </c>
      <c r="F75" s="15" t="n">
        <v>356.06</v>
      </c>
      <c r="G75" s="16" t="n">
        <v>10</v>
      </c>
    </row>
    <row r="76" customFormat="false" ht="15" hidden="false" customHeight="false" outlineLevel="0" collapsed="false">
      <c r="A76" s="10" t="s">
        <v>45</v>
      </c>
      <c r="B76" s="10" t="s">
        <v>50</v>
      </c>
      <c r="C76" s="10" t="n">
        <v>0.9</v>
      </c>
      <c r="D76" s="10" t="n">
        <v>2</v>
      </c>
      <c r="E76" s="10" t="n">
        <v>44</v>
      </c>
      <c r="F76" s="11" t="n">
        <v>356.06</v>
      </c>
      <c r="G76" s="12" t="n">
        <v>10</v>
      </c>
    </row>
    <row r="77" customFormat="false" ht="15" hidden="false" customHeight="false" outlineLevel="0" collapsed="false">
      <c r="A77" s="14" t="s">
        <v>45</v>
      </c>
      <c r="B77" s="14" t="s">
        <v>46</v>
      </c>
      <c r="C77" s="14" t="s">
        <v>51</v>
      </c>
      <c r="D77" s="14" t="n">
        <v>0</v>
      </c>
      <c r="E77" s="14" t="n">
        <v>42</v>
      </c>
      <c r="F77" s="15" t="n">
        <v>360.15</v>
      </c>
      <c r="G77" s="16" t="n">
        <v>10.001</v>
      </c>
    </row>
    <row r="78" customFormat="false" ht="15" hidden="false" customHeight="false" outlineLevel="0" collapsed="false">
      <c r="A78" s="10" t="s">
        <v>45</v>
      </c>
      <c r="B78" s="10" t="s">
        <v>46</v>
      </c>
      <c r="C78" s="10" t="s">
        <v>51</v>
      </c>
      <c r="D78" s="10" t="n">
        <v>1</v>
      </c>
      <c r="E78" s="10" t="n">
        <v>43</v>
      </c>
      <c r="F78" s="11" t="n">
        <v>360.15</v>
      </c>
      <c r="G78" s="12" t="n">
        <v>10.004</v>
      </c>
    </row>
    <row r="79" customFormat="false" ht="15" hidden="false" customHeight="false" outlineLevel="0" collapsed="false">
      <c r="A79" s="14" t="s">
        <v>45</v>
      </c>
      <c r="B79" s="14" t="s">
        <v>46</v>
      </c>
      <c r="C79" s="14" t="s">
        <v>51</v>
      </c>
      <c r="D79" s="14" t="n">
        <v>2</v>
      </c>
      <c r="E79" s="14" t="n">
        <v>44</v>
      </c>
      <c r="F79" s="15" t="n">
        <v>360.15</v>
      </c>
      <c r="G79" s="16" t="n">
        <v>10</v>
      </c>
    </row>
    <row r="80" customFormat="false" ht="15" hidden="false" customHeight="false" outlineLevel="0" collapsed="false">
      <c r="A80" s="10" t="s">
        <v>45</v>
      </c>
      <c r="B80" s="10" t="s">
        <v>47</v>
      </c>
      <c r="C80" s="10" t="s">
        <v>51</v>
      </c>
      <c r="D80" s="10" t="n">
        <v>0</v>
      </c>
      <c r="E80" s="10" t="n">
        <v>42</v>
      </c>
      <c r="F80" s="11" t="n">
        <v>355.72</v>
      </c>
      <c r="G80" s="12" t="n">
        <v>10</v>
      </c>
    </row>
    <row r="81" customFormat="false" ht="15" hidden="false" customHeight="false" outlineLevel="0" collapsed="false">
      <c r="A81" s="14" t="s">
        <v>45</v>
      </c>
      <c r="B81" s="14" t="s">
        <v>47</v>
      </c>
      <c r="C81" s="14" t="s">
        <v>51</v>
      </c>
      <c r="D81" s="14" t="n">
        <v>1</v>
      </c>
      <c r="E81" s="14" t="n">
        <v>43</v>
      </c>
      <c r="F81" s="15" t="n">
        <v>355.72</v>
      </c>
      <c r="G81" s="16" t="n">
        <v>10.003</v>
      </c>
    </row>
    <row r="82" customFormat="false" ht="15" hidden="false" customHeight="false" outlineLevel="0" collapsed="false">
      <c r="A82" s="10" t="s">
        <v>45</v>
      </c>
      <c r="B82" s="10" t="s">
        <v>47</v>
      </c>
      <c r="C82" s="10" t="s">
        <v>51</v>
      </c>
      <c r="D82" s="10" t="n">
        <v>2</v>
      </c>
      <c r="E82" s="10" t="n">
        <v>44</v>
      </c>
      <c r="F82" s="11" t="n">
        <v>355.72</v>
      </c>
      <c r="G82" s="12" t="n">
        <v>10.003</v>
      </c>
    </row>
    <row r="83" customFormat="false" ht="15" hidden="false" customHeight="false" outlineLevel="0" collapsed="false">
      <c r="A83" s="14" t="s">
        <v>45</v>
      </c>
      <c r="B83" s="14" t="s">
        <v>48</v>
      </c>
      <c r="C83" s="14" t="s">
        <v>51</v>
      </c>
      <c r="D83" s="14" t="n">
        <v>0</v>
      </c>
      <c r="E83" s="14" t="n">
        <v>42</v>
      </c>
      <c r="F83" s="15" t="n">
        <v>355.5</v>
      </c>
      <c r="G83" s="16" t="n">
        <v>10.003</v>
      </c>
    </row>
    <row r="84" customFormat="false" ht="15" hidden="false" customHeight="false" outlineLevel="0" collapsed="false">
      <c r="A84" s="10" t="s">
        <v>45</v>
      </c>
      <c r="B84" s="10" t="s">
        <v>48</v>
      </c>
      <c r="C84" s="10" t="s">
        <v>51</v>
      </c>
      <c r="D84" s="10" t="n">
        <v>1</v>
      </c>
      <c r="E84" s="10" t="n">
        <v>43</v>
      </c>
      <c r="F84" s="11" t="n">
        <v>355.5</v>
      </c>
      <c r="G84" s="12" t="n">
        <v>10.005</v>
      </c>
    </row>
    <row r="85" customFormat="false" ht="15" hidden="false" customHeight="false" outlineLevel="0" collapsed="false">
      <c r="A85" s="14" t="s">
        <v>45</v>
      </c>
      <c r="B85" s="14" t="s">
        <v>48</v>
      </c>
      <c r="C85" s="14" t="s">
        <v>51</v>
      </c>
      <c r="D85" s="14" t="n">
        <v>2</v>
      </c>
      <c r="E85" s="14" t="n">
        <v>44</v>
      </c>
      <c r="F85" s="15" t="n">
        <v>355.5</v>
      </c>
      <c r="G85" s="16" t="n">
        <v>10.002</v>
      </c>
    </row>
    <row r="86" customFormat="false" ht="15" hidden="false" customHeight="false" outlineLevel="0" collapsed="false">
      <c r="A86" s="10" t="s">
        <v>45</v>
      </c>
      <c r="B86" s="10" t="s">
        <v>49</v>
      </c>
      <c r="C86" s="10" t="s">
        <v>51</v>
      </c>
      <c r="D86" s="10" t="n">
        <v>0</v>
      </c>
      <c r="E86" s="10" t="n">
        <v>42</v>
      </c>
      <c r="F86" s="11" t="n">
        <v>354.25</v>
      </c>
      <c r="G86" s="12" t="n">
        <v>10.001</v>
      </c>
    </row>
    <row r="87" customFormat="false" ht="15" hidden="false" customHeight="false" outlineLevel="0" collapsed="false">
      <c r="A87" s="14" t="s">
        <v>45</v>
      </c>
      <c r="B87" s="14" t="s">
        <v>49</v>
      </c>
      <c r="C87" s="14" t="s">
        <v>51</v>
      </c>
      <c r="D87" s="14" t="n">
        <v>1</v>
      </c>
      <c r="E87" s="14" t="n">
        <v>43</v>
      </c>
      <c r="F87" s="15" t="n">
        <v>354.25</v>
      </c>
      <c r="G87" s="16" t="n">
        <v>10.001</v>
      </c>
    </row>
    <row r="88" customFormat="false" ht="15" hidden="false" customHeight="false" outlineLevel="0" collapsed="false">
      <c r="A88" s="10" t="s">
        <v>45</v>
      </c>
      <c r="B88" s="10" t="s">
        <v>49</v>
      </c>
      <c r="C88" s="10" t="s">
        <v>51</v>
      </c>
      <c r="D88" s="10" t="n">
        <v>2</v>
      </c>
      <c r="E88" s="10" t="n">
        <v>44</v>
      </c>
      <c r="F88" s="11" t="n">
        <v>354.25</v>
      </c>
      <c r="G88" s="12" t="n">
        <v>10.003</v>
      </c>
    </row>
    <row r="89" customFormat="false" ht="15" hidden="false" customHeight="false" outlineLevel="0" collapsed="false">
      <c r="A89" s="14" t="s">
        <v>45</v>
      </c>
      <c r="B89" s="14" t="s">
        <v>50</v>
      </c>
      <c r="C89" s="14" t="s">
        <v>51</v>
      </c>
      <c r="D89" s="14" t="n">
        <v>0</v>
      </c>
      <c r="E89" s="14" t="n">
        <v>42</v>
      </c>
      <c r="F89" s="15" t="n">
        <v>356.06</v>
      </c>
      <c r="G89" s="16" t="n">
        <v>10.001</v>
      </c>
    </row>
    <row r="90" customFormat="false" ht="15" hidden="false" customHeight="false" outlineLevel="0" collapsed="false">
      <c r="A90" s="10" t="s">
        <v>45</v>
      </c>
      <c r="B90" s="10" t="s">
        <v>50</v>
      </c>
      <c r="C90" s="10" t="s">
        <v>51</v>
      </c>
      <c r="D90" s="10" t="n">
        <v>1</v>
      </c>
      <c r="E90" s="10" t="n">
        <v>43</v>
      </c>
      <c r="F90" s="11" t="n">
        <v>356.06</v>
      </c>
      <c r="G90" s="12" t="n">
        <v>10.003</v>
      </c>
    </row>
    <row r="91" customFormat="false" ht="15" hidden="false" customHeight="false" outlineLevel="0" collapsed="false">
      <c r="A91" s="14" t="s">
        <v>45</v>
      </c>
      <c r="B91" s="14" t="s">
        <v>50</v>
      </c>
      <c r="C91" s="14" t="s">
        <v>51</v>
      </c>
      <c r="D91" s="14" t="n">
        <v>2</v>
      </c>
      <c r="E91" s="14" t="n">
        <v>44</v>
      </c>
      <c r="F91" s="15" t="n">
        <v>356.06</v>
      </c>
      <c r="G91" s="16" t="n">
        <v>10.002</v>
      </c>
    </row>
    <row r="92" customFormat="false" ht="15" hidden="false" customHeight="false" outlineLevel="0" collapsed="false">
      <c r="A92" s="10" t="s">
        <v>52</v>
      </c>
      <c r="B92" s="10" t="s">
        <v>53</v>
      </c>
      <c r="C92" s="10" t="n">
        <v>0.1</v>
      </c>
      <c r="D92" s="10" t="n">
        <v>0</v>
      </c>
      <c r="E92" s="10" t="n">
        <v>42</v>
      </c>
      <c r="F92" s="11" t="n">
        <v>7720.38</v>
      </c>
      <c r="G92" s="12" t="n">
        <v>10.534</v>
      </c>
    </row>
    <row r="93" customFormat="false" ht="15" hidden="false" customHeight="false" outlineLevel="0" collapsed="false">
      <c r="A93" s="14" t="s">
        <v>52</v>
      </c>
      <c r="B93" s="14" t="s">
        <v>53</v>
      </c>
      <c r="C93" s="14" t="n">
        <v>0.1</v>
      </c>
      <c r="D93" s="14" t="n">
        <v>1</v>
      </c>
      <c r="E93" s="14" t="n">
        <v>43</v>
      </c>
      <c r="F93" s="15" t="n">
        <v>7651.65</v>
      </c>
      <c r="G93" s="16" t="n">
        <v>10.09</v>
      </c>
    </row>
    <row r="94" customFormat="false" ht="15" hidden="false" customHeight="false" outlineLevel="0" collapsed="false">
      <c r="A94" s="10" t="s">
        <v>52</v>
      </c>
      <c r="B94" s="10" t="s">
        <v>53</v>
      </c>
      <c r="C94" s="10" t="n">
        <v>0.1</v>
      </c>
      <c r="D94" s="10" t="n">
        <v>2</v>
      </c>
      <c r="E94" s="10" t="n">
        <v>44</v>
      </c>
      <c r="F94" s="11" t="n">
        <v>7693.79</v>
      </c>
      <c r="G94" s="12" t="n">
        <v>10.382</v>
      </c>
    </row>
    <row r="95" customFormat="false" ht="15" hidden="false" customHeight="false" outlineLevel="0" collapsed="false">
      <c r="A95" s="14" t="s">
        <v>52</v>
      </c>
      <c r="B95" s="14" t="s">
        <v>54</v>
      </c>
      <c r="C95" s="14" t="n">
        <v>0.1</v>
      </c>
      <c r="D95" s="14" t="n">
        <v>0</v>
      </c>
      <c r="E95" s="14" t="n">
        <v>42</v>
      </c>
      <c r="F95" s="15" t="n">
        <v>7668.68</v>
      </c>
      <c r="G95" s="16" t="n">
        <v>10.251</v>
      </c>
    </row>
    <row r="96" customFormat="false" ht="15" hidden="false" customHeight="false" outlineLevel="0" collapsed="false">
      <c r="A96" s="10" t="s">
        <v>52</v>
      </c>
      <c r="B96" s="10" t="s">
        <v>54</v>
      </c>
      <c r="C96" s="10" t="n">
        <v>0.1</v>
      </c>
      <c r="D96" s="10" t="n">
        <v>1</v>
      </c>
      <c r="E96" s="10" t="n">
        <v>43</v>
      </c>
      <c r="F96" s="11" t="n">
        <v>7656</v>
      </c>
      <c r="G96" s="12" t="n">
        <v>10.024</v>
      </c>
    </row>
    <row r="97" customFormat="false" ht="15" hidden="false" customHeight="false" outlineLevel="0" collapsed="false">
      <c r="A97" s="14" t="s">
        <v>52</v>
      </c>
      <c r="B97" s="14" t="s">
        <v>54</v>
      </c>
      <c r="C97" s="14" t="n">
        <v>0.1</v>
      </c>
      <c r="D97" s="14" t="n">
        <v>2</v>
      </c>
      <c r="E97" s="14" t="n">
        <v>44</v>
      </c>
      <c r="F97" s="15" t="n">
        <v>7643.29</v>
      </c>
      <c r="G97" s="16" t="n">
        <v>10.583</v>
      </c>
    </row>
    <row r="98" customFormat="false" ht="15" hidden="false" customHeight="false" outlineLevel="0" collapsed="false">
      <c r="A98" s="10" t="s">
        <v>52</v>
      </c>
      <c r="B98" s="10" t="s">
        <v>55</v>
      </c>
      <c r="C98" s="10" t="n">
        <v>0.1</v>
      </c>
      <c r="D98" s="10" t="n">
        <v>0</v>
      </c>
      <c r="E98" s="10" t="n">
        <v>42</v>
      </c>
      <c r="F98" s="11" t="n">
        <v>7752.31</v>
      </c>
      <c r="G98" s="12" t="n">
        <v>10.08</v>
      </c>
    </row>
    <row r="99" customFormat="false" ht="15" hidden="false" customHeight="false" outlineLevel="0" collapsed="false">
      <c r="A99" s="14" t="s">
        <v>52</v>
      </c>
      <c r="B99" s="14" t="s">
        <v>55</v>
      </c>
      <c r="C99" s="14" t="n">
        <v>0.1</v>
      </c>
      <c r="D99" s="14" t="n">
        <v>1</v>
      </c>
      <c r="E99" s="14" t="n">
        <v>43</v>
      </c>
      <c r="F99" s="15" t="n">
        <v>7717.46</v>
      </c>
      <c r="G99" s="16" t="n">
        <v>10.351</v>
      </c>
    </row>
    <row r="100" customFormat="false" ht="15" hidden="false" customHeight="false" outlineLevel="0" collapsed="false">
      <c r="A100" s="10" t="s">
        <v>52</v>
      </c>
      <c r="B100" s="10" t="s">
        <v>55</v>
      </c>
      <c r="C100" s="10" t="n">
        <v>0.1</v>
      </c>
      <c r="D100" s="10" t="n">
        <v>2</v>
      </c>
      <c r="E100" s="10" t="n">
        <v>44</v>
      </c>
      <c r="F100" s="11" t="n">
        <v>7683.27</v>
      </c>
      <c r="G100" s="12" t="n">
        <v>10.066</v>
      </c>
    </row>
    <row r="101" customFormat="false" ht="15" hidden="false" customHeight="false" outlineLevel="0" collapsed="false">
      <c r="A101" s="14" t="s">
        <v>52</v>
      </c>
      <c r="B101" s="14" t="s">
        <v>56</v>
      </c>
      <c r="C101" s="14" t="n">
        <v>0.1</v>
      </c>
      <c r="D101" s="14" t="n">
        <v>0</v>
      </c>
      <c r="E101" s="14" t="n">
        <v>42</v>
      </c>
      <c r="F101" s="15" t="n">
        <v>7706.34</v>
      </c>
      <c r="G101" s="16" t="n">
        <v>10.03</v>
      </c>
    </row>
    <row r="102" customFormat="false" ht="15" hidden="false" customHeight="false" outlineLevel="0" collapsed="false">
      <c r="A102" s="10" t="s">
        <v>52</v>
      </c>
      <c r="B102" s="10" t="s">
        <v>56</v>
      </c>
      <c r="C102" s="10" t="n">
        <v>0.1</v>
      </c>
      <c r="D102" s="10" t="n">
        <v>1</v>
      </c>
      <c r="E102" s="10" t="n">
        <v>43</v>
      </c>
      <c r="F102" s="11" t="n">
        <v>7651.97</v>
      </c>
      <c r="G102" s="12" t="n">
        <v>10.314</v>
      </c>
    </row>
    <row r="103" customFormat="false" ht="15" hidden="false" customHeight="false" outlineLevel="0" collapsed="false">
      <c r="A103" s="14" t="s">
        <v>52</v>
      </c>
      <c r="B103" s="14" t="s">
        <v>56</v>
      </c>
      <c r="C103" s="14" t="n">
        <v>0.1</v>
      </c>
      <c r="D103" s="14" t="n">
        <v>2</v>
      </c>
      <c r="E103" s="14" t="n">
        <v>44</v>
      </c>
      <c r="F103" s="15" t="n">
        <v>7679.01</v>
      </c>
      <c r="G103" s="16" t="n">
        <v>10.075</v>
      </c>
    </row>
    <row r="104" customFormat="false" ht="15" hidden="false" customHeight="false" outlineLevel="0" collapsed="false">
      <c r="A104" s="10" t="s">
        <v>52</v>
      </c>
      <c r="B104" s="10" t="s">
        <v>57</v>
      </c>
      <c r="C104" s="10" t="n">
        <v>0.1</v>
      </c>
      <c r="D104" s="10" t="n">
        <v>0</v>
      </c>
      <c r="E104" s="10" t="n">
        <v>42</v>
      </c>
      <c r="F104" s="11" t="n">
        <v>7715.05</v>
      </c>
      <c r="G104" s="12" t="n">
        <v>10.448</v>
      </c>
    </row>
    <row r="105" customFormat="false" ht="15" hidden="false" customHeight="false" outlineLevel="0" collapsed="false">
      <c r="A105" s="14" t="s">
        <v>52</v>
      </c>
      <c r="B105" s="14" t="s">
        <v>57</v>
      </c>
      <c r="C105" s="14" t="n">
        <v>0.1</v>
      </c>
      <c r="D105" s="14" t="n">
        <v>1</v>
      </c>
      <c r="E105" s="14" t="n">
        <v>43</v>
      </c>
      <c r="F105" s="15" t="n">
        <v>7739.22</v>
      </c>
      <c r="G105" s="16" t="n">
        <v>10.228</v>
      </c>
    </row>
    <row r="106" customFormat="false" ht="15" hidden="false" customHeight="false" outlineLevel="0" collapsed="false">
      <c r="A106" s="10" t="s">
        <v>52</v>
      </c>
      <c r="B106" s="10" t="s">
        <v>57</v>
      </c>
      <c r="C106" s="10" t="n">
        <v>0.1</v>
      </c>
      <c r="D106" s="10" t="n">
        <v>2</v>
      </c>
      <c r="E106" s="10" t="n">
        <v>44</v>
      </c>
      <c r="F106" s="11" t="n">
        <v>7739.85</v>
      </c>
      <c r="G106" s="12" t="n">
        <v>10.765</v>
      </c>
    </row>
    <row r="107" customFormat="false" ht="15" hidden="false" customHeight="false" outlineLevel="0" collapsed="false">
      <c r="A107" s="14" t="s">
        <v>52</v>
      </c>
      <c r="B107" s="14" t="s">
        <v>53</v>
      </c>
      <c r="C107" s="14" t="n">
        <v>0.25</v>
      </c>
      <c r="D107" s="14" t="n">
        <v>0</v>
      </c>
      <c r="E107" s="14" t="n">
        <v>42</v>
      </c>
      <c r="F107" s="15" t="n">
        <v>7695.06</v>
      </c>
      <c r="G107" s="16" t="n">
        <v>10.886</v>
      </c>
    </row>
    <row r="108" customFormat="false" ht="15" hidden="false" customHeight="false" outlineLevel="0" collapsed="false">
      <c r="A108" s="10" t="s">
        <v>52</v>
      </c>
      <c r="B108" s="10" t="s">
        <v>53</v>
      </c>
      <c r="C108" s="10" t="n">
        <v>0.25</v>
      </c>
      <c r="D108" s="10" t="n">
        <v>1</v>
      </c>
      <c r="E108" s="10" t="n">
        <v>43</v>
      </c>
      <c r="F108" s="11" t="n">
        <v>7671.19</v>
      </c>
      <c r="G108" s="12" t="n">
        <v>10.634</v>
      </c>
    </row>
    <row r="109" customFormat="false" ht="15" hidden="false" customHeight="false" outlineLevel="0" collapsed="false">
      <c r="A109" s="14" t="s">
        <v>52</v>
      </c>
      <c r="B109" s="14" t="s">
        <v>53</v>
      </c>
      <c r="C109" s="14" t="n">
        <v>0.25</v>
      </c>
      <c r="D109" s="14" t="n">
        <v>2</v>
      </c>
      <c r="E109" s="14" t="n">
        <v>44</v>
      </c>
      <c r="F109" s="15" t="n">
        <v>7706.87</v>
      </c>
      <c r="G109" s="16" t="n">
        <v>10.668</v>
      </c>
    </row>
    <row r="110" customFormat="false" ht="15" hidden="false" customHeight="false" outlineLevel="0" collapsed="false">
      <c r="A110" s="10" t="s">
        <v>52</v>
      </c>
      <c r="B110" s="10" t="s">
        <v>54</v>
      </c>
      <c r="C110" s="10" t="n">
        <v>0.25</v>
      </c>
      <c r="D110" s="10" t="n">
        <v>0</v>
      </c>
      <c r="E110" s="10" t="n">
        <v>42</v>
      </c>
      <c r="F110" s="11" t="n">
        <v>7654.25</v>
      </c>
      <c r="G110" s="12" t="n">
        <v>11.055</v>
      </c>
    </row>
    <row r="111" customFormat="false" ht="15" hidden="false" customHeight="false" outlineLevel="0" collapsed="false">
      <c r="A111" s="14" t="s">
        <v>52</v>
      </c>
      <c r="B111" s="14" t="s">
        <v>54</v>
      </c>
      <c r="C111" s="14" t="n">
        <v>0.25</v>
      </c>
      <c r="D111" s="14" t="n">
        <v>1</v>
      </c>
      <c r="E111" s="14" t="n">
        <v>43</v>
      </c>
      <c r="F111" s="15" t="n">
        <v>7681.31</v>
      </c>
      <c r="G111" s="16" t="n">
        <v>10.545</v>
      </c>
    </row>
    <row r="112" customFormat="false" ht="15" hidden="false" customHeight="false" outlineLevel="0" collapsed="false">
      <c r="A112" s="10" t="s">
        <v>52</v>
      </c>
      <c r="B112" s="10" t="s">
        <v>54</v>
      </c>
      <c r="C112" s="10" t="n">
        <v>0.25</v>
      </c>
      <c r="D112" s="10" t="n">
        <v>2</v>
      </c>
      <c r="E112" s="10" t="n">
        <v>44</v>
      </c>
      <c r="F112" s="11" t="n">
        <v>7635.6</v>
      </c>
      <c r="G112" s="12" t="n">
        <v>10.719</v>
      </c>
    </row>
    <row r="113" customFormat="false" ht="15" hidden="false" customHeight="false" outlineLevel="0" collapsed="false">
      <c r="A113" s="14" t="s">
        <v>52</v>
      </c>
      <c r="B113" s="14" t="s">
        <v>55</v>
      </c>
      <c r="C113" s="14" t="n">
        <v>0.25</v>
      </c>
      <c r="D113" s="14" t="n">
        <v>0</v>
      </c>
      <c r="E113" s="14" t="n">
        <v>42</v>
      </c>
      <c r="F113" s="15" t="n">
        <v>7681.31</v>
      </c>
      <c r="G113" s="16" t="n">
        <v>11.541</v>
      </c>
    </row>
    <row r="114" customFormat="false" ht="15" hidden="false" customHeight="false" outlineLevel="0" collapsed="false">
      <c r="A114" s="10" t="s">
        <v>52</v>
      </c>
      <c r="B114" s="10" t="s">
        <v>55</v>
      </c>
      <c r="C114" s="10" t="n">
        <v>0.25</v>
      </c>
      <c r="D114" s="10" t="n">
        <v>1</v>
      </c>
      <c r="E114" s="10" t="n">
        <v>43</v>
      </c>
      <c r="F114" s="11" t="n">
        <v>7653.34</v>
      </c>
      <c r="G114" s="12" t="n">
        <v>11.054</v>
      </c>
    </row>
    <row r="115" customFormat="false" ht="15" hidden="false" customHeight="false" outlineLevel="0" collapsed="false">
      <c r="A115" s="14" t="s">
        <v>52</v>
      </c>
      <c r="B115" s="14" t="s">
        <v>55</v>
      </c>
      <c r="C115" s="14" t="n">
        <v>0.25</v>
      </c>
      <c r="D115" s="14" t="n">
        <v>2</v>
      </c>
      <c r="E115" s="14" t="n">
        <v>44</v>
      </c>
      <c r="F115" s="15" t="n">
        <v>7687.29</v>
      </c>
      <c r="G115" s="16" t="n">
        <v>11.744</v>
      </c>
    </row>
    <row r="116" customFormat="false" ht="15" hidden="false" customHeight="false" outlineLevel="0" collapsed="false">
      <c r="A116" s="10" t="s">
        <v>52</v>
      </c>
      <c r="B116" s="10" t="s">
        <v>56</v>
      </c>
      <c r="C116" s="10" t="n">
        <v>0.25</v>
      </c>
      <c r="D116" s="10" t="n">
        <v>0</v>
      </c>
      <c r="E116" s="10" t="n">
        <v>42</v>
      </c>
      <c r="F116" s="11" t="n">
        <v>7732.64</v>
      </c>
      <c r="G116" s="12" t="n">
        <v>10.823</v>
      </c>
    </row>
    <row r="117" customFormat="false" ht="15" hidden="false" customHeight="false" outlineLevel="0" collapsed="false">
      <c r="A117" s="14" t="s">
        <v>52</v>
      </c>
      <c r="B117" s="14" t="s">
        <v>56</v>
      </c>
      <c r="C117" s="14" t="n">
        <v>0.25</v>
      </c>
      <c r="D117" s="14" t="n">
        <v>1</v>
      </c>
      <c r="E117" s="14" t="n">
        <v>43</v>
      </c>
      <c r="F117" s="15" t="n">
        <v>7714.41</v>
      </c>
      <c r="G117" s="16" t="n">
        <v>10.665</v>
      </c>
    </row>
    <row r="118" customFormat="false" ht="15" hidden="false" customHeight="false" outlineLevel="0" collapsed="false">
      <c r="A118" s="10" t="s">
        <v>52</v>
      </c>
      <c r="B118" s="10" t="s">
        <v>56</v>
      </c>
      <c r="C118" s="10" t="n">
        <v>0.25</v>
      </c>
      <c r="D118" s="10" t="n">
        <v>2</v>
      </c>
      <c r="E118" s="10" t="n">
        <v>44</v>
      </c>
      <c r="F118" s="11" t="n">
        <v>7722.63</v>
      </c>
      <c r="G118" s="12" t="n">
        <v>11.336</v>
      </c>
    </row>
    <row r="119" customFormat="false" ht="15" hidden="false" customHeight="false" outlineLevel="0" collapsed="false">
      <c r="A119" s="14" t="s">
        <v>52</v>
      </c>
      <c r="B119" s="14" t="s">
        <v>57</v>
      </c>
      <c r="C119" s="14" t="n">
        <v>0.25</v>
      </c>
      <c r="D119" s="14" t="n">
        <v>0</v>
      </c>
      <c r="E119" s="14" t="n">
        <v>42</v>
      </c>
      <c r="F119" s="15" t="n">
        <v>7752.67</v>
      </c>
      <c r="G119" s="16" t="n">
        <v>10.218</v>
      </c>
    </row>
    <row r="120" customFormat="false" ht="15" hidden="false" customHeight="false" outlineLevel="0" collapsed="false">
      <c r="A120" s="10" t="s">
        <v>52</v>
      </c>
      <c r="B120" s="10" t="s">
        <v>57</v>
      </c>
      <c r="C120" s="10" t="n">
        <v>0.25</v>
      </c>
      <c r="D120" s="10" t="n">
        <v>1</v>
      </c>
      <c r="E120" s="10" t="n">
        <v>43</v>
      </c>
      <c r="F120" s="11" t="n">
        <v>7693.4</v>
      </c>
      <c r="G120" s="12" t="n">
        <v>10.763</v>
      </c>
    </row>
    <row r="121" customFormat="false" ht="15" hidden="false" customHeight="false" outlineLevel="0" collapsed="false">
      <c r="A121" s="14" t="s">
        <v>52</v>
      </c>
      <c r="B121" s="14" t="s">
        <v>57</v>
      </c>
      <c r="C121" s="14" t="n">
        <v>0.25</v>
      </c>
      <c r="D121" s="14" t="n">
        <v>2</v>
      </c>
      <c r="E121" s="14" t="n">
        <v>44</v>
      </c>
      <c r="F121" s="15" t="n">
        <v>7697.91</v>
      </c>
      <c r="G121" s="16" t="n">
        <v>11.389</v>
      </c>
    </row>
    <row r="122" customFormat="false" ht="15" hidden="false" customHeight="false" outlineLevel="0" collapsed="false">
      <c r="A122" s="10" t="s">
        <v>52</v>
      </c>
      <c r="B122" s="10" t="s">
        <v>53</v>
      </c>
      <c r="C122" s="10" t="n">
        <v>0.5</v>
      </c>
      <c r="D122" s="10" t="n">
        <v>0</v>
      </c>
      <c r="E122" s="10" t="n">
        <v>42</v>
      </c>
      <c r="F122" s="11" t="n">
        <v>7658.65</v>
      </c>
      <c r="G122" s="12" t="n">
        <v>10.549</v>
      </c>
    </row>
    <row r="123" customFormat="false" ht="15" hidden="false" customHeight="false" outlineLevel="0" collapsed="false">
      <c r="A123" s="14" t="s">
        <v>52</v>
      </c>
      <c r="B123" s="14" t="s">
        <v>53</v>
      </c>
      <c r="C123" s="14" t="n">
        <v>0.5</v>
      </c>
      <c r="D123" s="14" t="n">
        <v>1</v>
      </c>
      <c r="E123" s="14" t="n">
        <v>43</v>
      </c>
      <c r="F123" s="15" t="n">
        <v>7635.4</v>
      </c>
      <c r="G123" s="16" t="n">
        <v>11.735</v>
      </c>
    </row>
    <row r="124" customFormat="false" ht="15" hidden="false" customHeight="false" outlineLevel="0" collapsed="false">
      <c r="A124" s="10" t="s">
        <v>52</v>
      </c>
      <c r="B124" s="10" t="s">
        <v>53</v>
      </c>
      <c r="C124" s="10" t="n">
        <v>0.5</v>
      </c>
      <c r="D124" s="10" t="n">
        <v>2</v>
      </c>
      <c r="E124" s="10" t="n">
        <v>44</v>
      </c>
      <c r="F124" s="11" t="n">
        <v>7742.57</v>
      </c>
      <c r="G124" s="12" t="n">
        <v>11.192</v>
      </c>
    </row>
    <row r="125" customFormat="false" ht="15" hidden="false" customHeight="false" outlineLevel="0" collapsed="false">
      <c r="A125" s="14" t="s">
        <v>52</v>
      </c>
      <c r="B125" s="14" t="s">
        <v>54</v>
      </c>
      <c r="C125" s="14" t="n">
        <v>0.5</v>
      </c>
      <c r="D125" s="14" t="n">
        <v>0</v>
      </c>
      <c r="E125" s="14" t="n">
        <v>42</v>
      </c>
      <c r="F125" s="15" t="n">
        <v>7644.91</v>
      </c>
      <c r="G125" s="16" t="n">
        <v>10.971</v>
      </c>
    </row>
    <row r="126" customFormat="false" ht="15" hidden="false" customHeight="false" outlineLevel="0" collapsed="false">
      <c r="A126" s="10" t="s">
        <v>52</v>
      </c>
      <c r="B126" s="10" t="s">
        <v>54</v>
      </c>
      <c r="C126" s="10" t="n">
        <v>0.5</v>
      </c>
      <c r="D126" s="10" t="n">
        <v>1</v>
      </c>
      <c r="E126" s="10" t="n">
        <v>43</v>
      </c>
      <c r="F126" s="11" t="n">
        <v>7635.57</v>
      </c>
      <c r="G126" s="12" t="n">
        <v>10.447</v>
      </c>
    </row>
    <row r="127" customFormat="false" ht="15" hidden="false" customHeight="false" outlineLevel="0" collapsed="false">
      <c r="A127" s="14" t="s">
        <v>52</v>
      </c>
      <c r="B127" s="14" t="s">
        <v>54</v>
      </c>
      <c r="C127" s="14" t="n">
        <v>0.5</v>
      </c>
      <c r="D127" s="14" t="n">
        <v>2</v>
      </c>
      <c r="E127" s="14" t="n">
        <v>44</v>
      </c>
      <c r="F127" s="15" t="n">
        <v>7633.6</v>
      </c>
      <c r="G127" s="16" t="n">
        <v>10.4</v>
      </c>
    </row>
    <row r="128" customFormat="false" ht="15" hidden="false" customHeight="false" outlineLevel="0" collapsed="false">
      <c r="A128" s="10" t="s">
        <v>52</v>
      </c>
      <c r="B128" s="10" t="s">
        <v>55</v>
      </c>
      <c r="C128" s="10" t="n">
        <v>0.5</v>
      </c>
      <c r="D128" s="10" t="n">
        <v>0</v>
      </c>
      <c r="E128" s="10" t="n">
        <v>42</v>
      </c>
      <c r="F128" s="11" t="n">
        <v>7629.08</v>
      </c>
      <c r="G128" s="12" t="n">
        <v>11.265</v>
      </c>
    </row>
    <row r="129" customFormat="false" ht="15" hidden="false" customHeight="false" outlineLevel="0" collapsed="false">
      <c r="A129" s="14" t="s">
        <v>52</v>
      </c>
      <c r="B129" s="14" t="s">
        <v>55</v>
      </c>
      <c r="C129" s="14" t="n">
        <v>0.5</v>
      </c>
      <c r="D129" s="14" t="n">
        <v>1</v>
      </c>
      <c r="E129" s="14" t="n">
        <v>43</v>
      </c>
      <c r="F129" s="15" t="n">
        <v>7645.96</v>
      </c>
      <c r="G129" s="16" t="n">
        <v>10.015</v>
      </c>
    </row>
    <row r="130" customFormat="false" ht="15" hidden="false" customHeight="false" outlineLevel="0" collapsed="false">
      <c r="A130" s="10" t="s">
        <v>52</v>
      </c>
      <c r="B130" s="10" t="s">
        <v>55</v>
      </c>
      <c r="C130" s="10" t="n">
        <v>0.5</v>
      </c>
      <c r="D130" s="10" t="n">
        <v>2</v>
      </c>
      <c r="E130" s="10" t="n">
        <v>44</v>
      </c>
      <c r="F130" s="11" t="n">
        <v>7677.03</v>
      </c>
      <c r="G130" s="12" t="n">
        <v>12.153</v>
      </c>
    </row>
    <row r="131" customFormat="false" ht="15" hidden="false" customHeight="false" outlineLevel="0" collapsed="false">
      <c r="A131" s="14" t="s">
        <v>52</v>
      </c>
      <c r="B131" s="14" t="s">
        <v>56</v>
      </c>
      <c r="C131" s="14" t="n">
        <v>0.5</v>
      </c>
      <c r="D131" s="14" t="n">
        <v>0</v>
      </c>
      <c r="E131" s="14" t="n">
        <v>42</v>
      </c>
      <c r="F131" s="15" t="n">
        <v>7706.05</v>
      </c>
      <c r="G131" s="16" t="n">
        <v>10.539</v>
      </c>
    </row>
    <row r="132" customFormat="false" ht="15" hidden="false" customHeight="false" outlineLevel="0" collapsed="false">
      <c r="A132" s="10" t="s">
        <v>52</v>
      </c>
      <c r="B132" s="10" t="s">
        <v>56</v>
      </c>
      <c r="C132" s="10" t="n">
        <v>0.5</v>
      </c>
      <c r="D132" s="10" t="n">
        <v>1</v>
      </c>
      <c r="E132" s="10" t="n">
        <v>43</v>
      </c>
      <c r="F132" s="11" t="n">
        <v>7635.3</v>
      </c>
      <c r="G132" s="12" t="n">
        <v>11.486</v>
      </c>
    </row>
    <row r="133" customFormat="false" ht="15" hidden="false" customHeight="false" outlineLevel="0" collapsed="false">
      <c r="A133" s="14" t="s">
        <v>52</v>
      </c>
      <c r="B133" s="14" t="s">
        <v>56</v>
      </c>
      <c r="C133" s="14" t="n">
        <v>0.5</v>
      </c>
      <c r="D133" s="14" t="n">
        <v>2</v>
      </c>
      <c r="E133" s="14" t="n">
        <v>44</v>
      </c>
      <c r="F133" s="15" t="n">
        <v>7654.81</v>
      </c>
      <c r="G133" s="16" t="n">
        <v>11</v>
      </c>
    </row>
    <row r="134" customFormat="false" ht="15" hidden="false" customHeight="false" outlineLevel="0" collapsed="false">
      <c r="A134" s="10" t="s">
        <v>52</v>
      </c>
      <c r="B134" s="10" t="s">
        <v>57</v>
      </c>
      <c r="C134" s="10" t="n">
        <v>0.5</v>
      </c>
      <c r="D134" s="10" t="n">
        <v>0</v>
      </c>
      <c r="E134" s="10" t="n">
        <v>42</v>
      </c>
      <c r="F134" s="11" t="n">
        <v>7701.78</v>
      </c>
      <c r="G134" s="12" t="n">
        <v>11.741</v>
      </c>
    </row>
    <row r="135" customFormat="false" ht="15" hidden="false" customHeight="false" outlineLevel="0" collapsed="false">
      <c r="A135" s="14" t="s">
        <v>52</v>
      </c>
      <c r="B135" s="14" t="s">
        <v>57</v>
      </c>
      <c r="C135" s="14" t="n">
        <v>0.5</v>
      </c>
      <c r="D135" s="14" t="n">
        <v>1</v>
      </c>
      <c r="E135" s="14" t="n">
        <v>43</v>
      </c>
      <c r="F135" s="15" t="n">
        <v>7727.9</v>
      </c>
      <c r="G135" s="16" t="n">
        <v>11.231</v>
      </c>
    </row>
    <row r="136" customFormat="false" ht="15" hidden="false" customHeight="false" outlineLevel="0" collapsed="false">
      <c r="A136" s="10" t="s">
        <v>52</v>
      </c>
      <c r="B136" s="10" t="s">
        <v>57</v>
      </c>
      <c r="C136" s="10" t="n">
        <v>0.5</v>
      </c>
      <c r="D136" s="10" t="n">
        <v>2</v>
      </c>
      <c r="E136" s="10" t="n">
        <v>44</v>
      </c>
      <c r="F136" s="11" t="n">
        <v>7710.11</v>
      </c>
      <c r="G136" s="12" t="n">
        <v>10.047</v>
      </c>
    </row>
    <row r="137" customFormat="false" ht="15" hidden="false" customHeight="false" outlineLevel="0" collapsed="false">
      <c r="A137" s="14" t="s">
        <v>52</v>
      </c>
      <c r="B137" s="14" t="s">
        <v>53</v>
      </c>
      <c r="C137" s="14" t="n">
        <v>0.75</v>
      </c>
      <c r="D137" s="14" t="n">
        <v>0</v>
      </c>
      <c r="E137" s="14" t="n">
        <v>42</v>
      </c>
      <c r="F137" s="15" t="n">
        <v>7609.5</v>
      </c>
      <c r="G137" s="16" t="n">
        <v>11.026</v>
      </c>
    </row>
    <row r="138" customFormat="false" ht="15" hidden="false" customHeight="false" outlineLevel="0" collapsed="false">
      <c r="A138" s="10" t="s">
        <v>52</v>
      </c>
      <c r="B138" s="10" t="s">
        <v>53</v>
      </c>
      <c r="C138" s="10" t="n">
        <v>0.75</v>
      </c>
      <c r="D138" s="10" t="n">
        <v>1</v>
      </c>
      <c r="E138" s="10" t="n">
        <v>43</v>
      </c>
      <c r="F138" s="11" t="n">
        <v>7651.71</v>
      </c>
      <c r="G138" s="12" t="n">
        <v>10.125</v>
      </c>
    </row>
    <row r="139" customFormat="false" ht="15" hidden="false" customHeight="false" outlineLevel="0" collapsed="false">
      <c r="A139" s="14" t="s">
        <v>52</v>
      </c>
      <c r="B139" s="14" t="s">
        <v>53</v>
      </c>
      <c r="C139" s="14" t="n">
        <v>0.75</v>
      </c>
      <c r="D139" s="14" t="n">
        <v>2</v>
      </c>
      <c r="E139" s="14" t="n">
        <v>44</v>
      </c>
      <c r="F139" s="15" t="n">
        <v>7616.92</v>
      </c>
      <c r="G139" s="16" t="n">
        <v>11.053</v>
      </c>
    </row>
    <row r="140" customFormat="false" ht="15" hidden="false" customHeight="false" outlineLevel="0" collapsed="false">
      <c r="A140" s="10" t="s">
        <v>52</v>
      </c>
      <c r="B140" s="10" t="s">
        <v>54</v>
      </c>
      <c r="C140" s="10" t="n">
        <v>0.75</v>
      </c>
      <c r="D140" s="10" t="n">
        <v>0</v>
      </c>
      <c r="E140" s="10" t="n">
        <v>42</v>
      </c>
      <c r="F140" s="11" t="n">
        <v>7643.21</v>
      </c>
      <c r="G140" s="12" t="n">
        <v>10.996</v>
      </c>
    </row>
    <row r="141" customFormat="false" ht="15" hidden="false" customHeight="false" outlineLevel="0" collapsed="false">
      <c r="A141" s="14" t="s">
        <v>52</v>
      </c>
      <c r="B141" s="14" t="s">
        <v>54</v>
      </c>
      <c r="C141" s="14" t="n">
        <v>0.75</v>
      </c>
      <c r="D141" s="14" t="n">
        <v>1</v>
      </c>
      <c r="E141" s="14" t="n">
        <v>43</v>
      </c>
      <c r="F141" s="15" t="n">
        <v>7645.36</v>
      </c>
      <c r="G141" s="16" t="n">
        <v>10.445</v>
      </c>
    </row>
    <row r="142" customFormat="false" ht="15" hidden="false" customHeight="false" outlineLevel="0" collapsed="false">
      <c r="A142" s="10" t="s">
        <v>52</v>
      </c>
      <c r="B142" s="10" t="s">
        <v>54</v>
      </c>
      <c r="C142" s="10" t="n">
        <v>0.75</v>
      </c>
      <c r="D142" s="10" t="n">
        <v>2</v>
      </c>
      <c r="E142" s="10" t="n">
        <v>44</v>
      </c>
      <c r="F142" s="11" t="n">
        <v>7645.54</v>
      </c>
      <c r="G142" s="12" t="n">
        <v>12.227</v>
      </c>
    </row>
    <row r="143" customFormat="false" ht="15" hidden="false" customHeight="false" outlineLevel="0" collapsed="false">
      <c r="A143" s="14" t="s">
        <v>52</v>
      </c>
      <c r="B143" s="14" t="s">
        <v>55</v>
      </c>
      <c r="C143" s="14" t="n">
        <v>0.75</v>
      </c>
      <c r="D143" s="14" t="n">
        <v>0</v>
      </c>
      <c r="E143" s="14" t="n">
        <v>42</v>
      </c>
      <c r="F143" s="15" t="n">
        <v>7638.89</v>
      </c>
      <c r="G143" s="16" t="n">
        <v>10.641</v>
      </c>
    </row>
    <row r="144" customFormat="false" ht="15" hidden="false" customHeight="false" outlineLevel="0" collapsed="false">
      <c r="A144" s="10" t="s">
        <v>52</v>
      </c>
      <c r="B144" s="10" t="s">
        <v>55</v>
      </c>
      <c r="C144" s="10" t="n">
        <v>0.75</v>
      </c>
      <c r="D144" s="10" t="n">
        <v>1</v>
      </c>
      <c r="E144" s="10" t="n">
        <v>43</v>
      </c>
      <c r="F144" s="11" t="n">
        <v>7618.73</v>
      </c>
      <c r="G144" s="12" t="n">
        <v>12.238</v>
      </c>
    </row>
    <row r="145" customFormat="false" ht="15" hidden="false" customHeight="false" outlineLevel="0" collapsed="false">
      <c r="A145" s="14" t="s">
        <v>52</v>
      </c>
      <c r="B145" s="14" t="s">
        <v>55</v>
      </c>
      <c r="C145" s="14" t="n">
        <v>0.75</v>
      </c>
      <c r="D145" s="14" t="n">
        <v>2</v>
      </c>
      <c r="E145" s="14" t="n">
        <v>44</v>
      </c>
      <c r="F145" s="15" t="n">
        <v>7689.14</v>
      </c>
      <c r="G145" s="16" t="n">
        <v>10.156</v>
      </c>
    </row>
    <row r="146" customFormat="false" ht="15" hidden="false" customHeight="false" outlineLevel="0" collapsed="false">
      <c r="A146" s="10" t="s">
        <v>52</v>
      </c>
      <c r="B146" s="10" t="s">
        <v>56</v>
      </c>
      <c r="C146" s="10" t="n">
        <v>0.75</v>
      </c>
      <c r="D146" s="10" t="n">
        <v>0</v>
      </c>
      <c r="E146" s="10" t="n">
        <v>42</v>
      </c>
      <c r="F146" s="11" t="n">
        <v>7643.43</v>
      </c>
      <c r="G146" s="12" t="n">
        <v>11.428</v>
      </c>
    </row>
    <row r="147" customFormat="false" ht="15" hidden="false" customHeight="false" outlineLevel="0" collapsed="false">
      <c r="A147" s="14" t="s">
        <v>52</v>
      </c>
      <c r="B147" s="14" t="s">
        <v>56</v>
      </c>
      <c r="C147" s="14" t="n">
        <v>0.75</v>
      </c>
      <c r="D147" s="14" t="n">
        <v>1</v>
      </c>
      <c r="E147" s="14" t="n">
        <v>43</v>
      </c>
      <c r="F147" s="15" t="n">
        <v>7712.31</v>
      </c>
      <c r="G147" s="16" t="n">
        <v>10.938</v>
      </c>
    </row>
    <row r="148" customFormat="false" ht="15" hidden="false" customHeight="false" outlineLevel="0" collapsed="false">
      <c r="A148" s="10" t="s">
        <v>52</v>
      </c>
      <c r="B148" s="10" t="s">
        <v>56</v>
      </c>
      <c r="C148" s="10" t="n">
        <v>0.75</v>
      </c>
      <c r="D148" s="10" t="n">
        <v>2</v>
      </c>
      <c r="E148" s="10" t="n">
        <v>44</v>
      </c>
      <c r="F148" s="11" t="n">
        <v>7669.41</v>
      </c>
      <c r="G148" s="12" t="n">
        <v>10.73</v>
      </c>
    </row>
    <row r="149" customFormat="false" ht="15" hidden="false" customHeight="false" outlineLevel="0" collapsed="false">
      <c r="A149" s="14" t="s">
        <v>52</v>
      </c>
      <c r="B149" s="14" t="s">
        <v>57</v>
      </c>
      <c r="C149" s="14" t="n">
        <v>0.75</v>
      </c>
      <c r="D149" s="14" t="n">
        <v>0</v>
      </c>
      <c r="E149" s="14" t="n">
        <v>42</v>
      </c>
      <c r="F149" s="15" t="n">
        <v>7667.14</v>
      </c>
      <c r="G149" s="16" t="n">
        <v>11.684</v>
      </c>
    </row>
    <row r="150" customFormat="false" ht="15" hidden="false" customHeight="false" outlineLevel="0" collapsed="false">
      <c r="A150" s="10" t="s">
        <v>52</v>
      </c>
      <c r="B150" s="10" t="s">
        <v>57</v>
      </c>
      <c r="C150" s="10" t="n">
        <v>0.75</v>
      </c>
      <c r="D150" s="10" t="n">
        <v>1</v>
      </c>
      <c r="E150" s="10" t="n">
        <v>43</v>
      </c>
      <c r="F150" s="11" t="n">
        <v>7727.06</v>
      </c>
      <c r="G150" s="12" t="n">
        <v>11.18</v>
      </c>
    </row>
    <row r="151" customFormat="false" ht="15" hidden="false" customHeight="false" outlineLevel="0" collapsed="false">
      <c r="A151" s="14" t="s">
        <v>52</v>
      </c>
      <c r="B151" s="14" t="s">
        <v>57</v>
      </c>
      <c r="C151" s="14" t="n">
        <v>0.75</v>
      </c>
      <c r="D151" s="14" t="n">
        <v>2</v>
      </c>
      <c r="E151" s="14" t="n">
        <v>44</v>
      </c>
      <c r="F151" s="15" t="n">
        <v>7691.95</v>
      </c>
      <c r="G151" s="16" t="n">
        <v>10.462</v>
      </c>
    </row>
    <row r="152" customFormat="false" ht="15" hidden="false" customHeight="false" outlineLevel="0" collapsed="false">
      <c r="A152" s="10" t="s">
        <v>52</v>
      </c>
      <c r="B152" s="10" t="s">
        <v>53</v>
      </c>
      <c r="C152" s="10" t="n">
        <v>0.9</v>
      </c>
      <c r="D152" s="10" t="n">
        <v>0</v>
      </c>
      <c r="E152" s="10" t="n">
        <v>42</v>
      </c>
      <c r="F152" s="11" t="n">
        <v>7709.01</v>
      </c>
      <c r="G152" s="12" t="n">
        <v>11.737</v>
      </c>
    </row>
    <row r="153" customFormat="false" ht="15" hidden="false" customHeight="false" outlineLevel="0" collapsed="false">
      <c r="A153" s="14" t="s">
        <v>52</v>
      </c>
      <c r="B153" s="14" t="s">
        <v>53</v>
      </c>
      <c r="C153" s="14" t="n">
        <v>0.9</v>
      </c>
      <c r="D153" s="14" t="n">
        <v>1</v>
      </c>
      <c r="E153" s="14" t="n">
        <v>43</v>
      </c>
      <c r="F153" s="15" t="n">
        <v>7754.9</v>
      </c>
      <c r="G153" s="16" t="n">
        <v>10.965</v>
      </c>
    </row>
    <row r="154" customFormat="false" ht="15" hidden="false" customHeight="false" outlineLevel="0" collapsed="false">
      <c r="A154" s="10" t="s">
        <v>52</v>
      </c>
      <c r="B154" s="10" t="s">
        <v>53</v>
      </c>
      <c r="C154" s="10" t="n">
        <v>0.9</v>
      </c>
      <c r="D154" s="10" t="n">
        <v>2</v>
      </c>
      <c r="E154" s="10" t="n">
        <v>44</v>
      </c>
      <c r="F154" s="11" t="n">
        <v>7647.4</v>
      </c>
      <c r="G154" s="12" t="n">
        <v>11.872</v>
      </c>
    </row>
    <row r="155" customFormat="false" ht="15" hidden="false" customHeight="false" outlineLevel="0" collapsed="false">
      <c r="A155" s="14" t="s">
        <v>52</v>
      </c>
      <c r="B155" s="14" t="s">
        <v>54</v>
      </c>
      <c r="C155" s="14" t="n">
        <v>0.9</v>
      </c>
      <c r="D155" s="14" t="n">
        <v>0</v>
      </c>
      <c r="E155" s="14" t="n">
        <v>42</v>
      </c>
      <c r="F155" s="15" t="n">
        <v>7627.32</v>
      </c>
      <c r="G155" s="16" t="n">
        <v>10.536</v>
      </c>
    </row>
    <row r="156" customFormat="false" ht="15" hidden="false" customHeight="false" outlineLevel="0" collapsed="false">
      <c r="A156" s="10" t="s">
        <v>52</v>
      </c>
      <c r="B156" s="10" t="s">
        <v>54</v>
      </c>
      <c r="C156" s="10" t="n">
        <v>0.9</v>
      </c>
      <c r="D156" s="10" t="n">
        <v>1</v>
      </c>
      <c r="E156" s="10" t="n">
        <v>43</v>
      </c>
      <c r="F156" s="11" t="n">
        <v>7682.51</v>
      </c>
      <c r="G156" s="12" t="n">
        <v>11.324</v>
      </c>
    </row>
    <row r="157" customFormat="false" ht="15" hidden="false" customHeight="false" outlineLevel="0" collapsed="false">
      <c r="A157" s="14" t="s">
        <v>52</v>
      </c>
      <c r="B157" s="14" t="s">
        <v>54</v>
      </c>
      <c r="C157" s="14" t="n">
        <v>0.9</v>
      </c>
      <c r="D157" s="14" t="n">
        <v>2</v>
      </c>
      <c r="E157" s="14" t="n">
        <v>44</v>
      </c>
      <c r="F157" s="15" t="n">
        <v>7636.44</v>
      </c>
      <c r="G157" s="16" t="n">
        <v>11.337</v>
      </c>
    </row>
    <row r="158" customFormat="false" ht="15" hidden="false" customHeight="false" outlineLevel="0" collapsed="false">
      <c r="A158" s="10" t="s">
        <v>52</v>
      </c>
      <c r="B158" s="10" t="s">
        <v>55</v>
      </c>
      <c r="C158" s="10" t="n">
        <v>0.9</v>
      </c>
      <c r="D158" s="10" t="n">
        <v>0</v>
      </c>
      <c r="E158" s="10" t="n">
        <v>42</v>
      </c>
      <c r="F158" s="11" t="n">
        <v>7690.85</v>
      </c>
      <c r="G158" s="12" t="n">
        <v>11.34</v>
      </c>
    </row>
    <row r="159" customFormat="false" ht="15" hidden="false" customHeight="false" outlineLevel="0" collapsed="false">
      <c r="A159" s="14" t="s">
        <v>52</v>
      </c>
      <c r="B159" s="14" t="s">
        <v>55</v>
      </c>
      <c r="C159" s="14" t="n">
        <v>0.9</v>
      </c>
      <c r="D159" s="14" t="n">
        <v>1</v>
      </c>
      <c r="E159" s="14" t="n">
        <v>43</v>
      </c>
      <c r="F159" s="15" t="n">
        <v>7655.41</v>
      </c>
      <c r="G159" s="16" t="n">
        <v>10.981</v>
      </c>
    </row>
    <row r="160" customFormat="false" ht="15" hidden="false" customHeight="false" outlineLevel="0" collapsed="false">
      <c r="A160" s="10" t="s">
        <v>52</v>
      </c>
      <c r="B160" s="10" t="s">
        <v>55</v>
      </c>
      <c r="C160" s="10" t="n">
        <v>0.9</v>
      </c>
      <c r="D160" s="10" t="n">
        <v>2</v>
      </c>
      <c r="E160" s="10" t="n">
        <v>44</v>
      </c>
      <c r="F160" s="11" t="n">
        <v>7633.02</v>
      </c>
      <c r="G160" s="12" t="n">
        <v>11.529</v>
      </c>
    </row>
    <row r="161" customFormat="false" ht="15" hidden="false" customHeight="false" outlineLevel="0" collapsed="false">
      <c r="A161" s="14" t="s">
        <v>52</v>
      </c>
      <c r="B161" s="14" t="s">
        <v>56</v>
      </c>
      <c r="C161" s="14" t="n">
        <v>0.9</v>
      </c>
      <c r="D161" s="14" t="n">
        <v>0</v>
      </c>
      <c r="E161" s="14" t="n">
        <v>42</v>
      </c>
      <c r="F161" s="15" t="n">
        <v>7718.59</v>
      </c>
      <c r="G161" s="16" t="n">
        <v>10.478</v>
      </c>
    </row>
    <row r="162" customFormat="false" ht="15" hidden="false" customHeight="false" outlineLevel="0" collapsed="false">
      <c r="A162" s="10" t="s">
        <v>52</v>
      </c>
      <c r="B162" s="10" t="s">
        <v>56</v>
      </c>
      <c r="C162" s="10" t="n">
        <v>0.9</v>
      </c>
      <c r="D162" s="10" t="n">
        <v>1</v>
      </c>
      <c r="E162" s="10" t="n">
        <v>43</v>
      </c>
      <c r="F162" s="11" t="n">
        <v>7688.18</v>
      </c>
      <c r="G162" s="12" t="n">
        <v>10.917</v>
      </c>
    </row>
    <row r="163" customFormat="false" ht="15" hidden="false" customHeight="false" outlineLevel="0" collapsed="false">
      <c r="A163" s="14" t="s">
        <v>52</v>
      </c>
      <c r="B163" s="14" t="s">
        <v>56</v>
      </c>
      <c r="C163" s="14" t="n">
        <v>0.9</v>
      </c>
      <c r="D163" s="14" t="n">
        <v>2</v>
      </c>
      <c r="E163" s="14" t="n">
        <v>44</v>
      </c>
      <c r="F163" s="15" t="n">
        <v>7637.7</v>
      </c>
      <c r="G163" s="16" t="n">
        <v>10.569</v>
      </c>
    </row>
    <row r="164" customFormat="false" ht="15" hidden="false" customHeight="false" outlineLevel="0" collapsed="false">
      <c r="A164" s="10" t="s">
        <v>52</v>
      </c>
      <c r="B164" s="10" t="s">
        <v>57</v>
      </c>
      <c r="C164" s="10" t="n">
        <v>0.9</v>
      </c>
      <c r="D164" s="10" t="n">
        <v>0</v>
      </c>
      <c r="E164" s="10" t="n">
        <v>42</v>
      </c>
      <c r="F164" s="11" t="n">
        <v>7658.31</v>
      </c>
      <c r="G164" s="12" t="n">
        <v>10.422</v>
      </c>
    </row>
    <row r="165" customFormat="false" ht="15" hidden="false" customHeight="false" outlineLevel="0" collapsed="false">
      <c r="A165" s="14" t="s">
        <v>52</v>
      </c>
      <c r="B165" s="14" t="s">
        <v>57</v>
      </c>
      <c r="C165" s="14" t="n">
        <v>0.9</v>
      </c>
      <c r="D165" s="14" t="n">
        <v>1</v>
      </c>
      <c r="E165" s="14" t="n">
        <v>43</v>
      </c>
      <c r="F165" s="15" t="n">
        <v>7679.36</v>
      </c>
      <c r="G165" s="16" t="n">
        <v>11.881</v>
      </c>
    </row>
    <row r="166" customFormat="false" ht="15" hidden="false" customHeight="false" outlineLevel="0" collapsed="false">
      <c r="A166" s="10" t="s">
        <v>52</v>
      </c>
      <c r="B166" s="10" t="s">
        <v>57</v>
      </c>
      <c r="C166" s="10" t="n">
        <v>0.9</v>
      </c>
      <c r="D166" s="10" t="n">
        <v>2</v>
      </c>
      <c r="E166" s="10" t="n">
        <v>44</v>
      </c>
      <c r="F166" s="11" t="n">
        <v>7649.82</v>
      </c>
      <c r="G166" s="12" t="n">
        <v>10.976</v>
      </c>
    </row>
    <row r="167" customFormat="false" ht="15" hidden="false" customHeight="false" outlineLevel="0" collapsed="false">
      <c r="A167" s="14" t="s">
        <v>52</v>
      </c>
      <c r="B167" s="14" t="s">
        <v>53</v>
      </c>
      <c r="C167" s="14" t="s">
        <v>51</v>
      </c>
      <c r="D167" s="14" t="n">
        <v>0</v>
      </c>
      <c r="E167" s="14" t="n">
        <v>42</v>
      </c>
      <c r="F167" s="15" t="n">
        <v>7675.53</v>
      </c>
      <c r="G167" s="16" t="n">
        <v>12.027</v>
      </c>
    </row>
    <row r="168" customFormat="false" ht="15" hidden="false" customHeight="false" outlineLevel="0" collapsed="false">
      <c r="A168" s="10" t="s">
        <v>52</v>
      </c>
      <c r="B168" s="10" t="s">
        <v>53</v>
      </c>
      <c r="C168" s="10" t="s">
        <v>51</v>
      </c>
      <c r="D168" s="10" t="n">
        <v>1</v>
      </c>
      <c r="E168" s="10" t="n">
        <v>43</v>
      </c>
      <c r="F168" s="11" t="n">
        <v>7658.03</v>
      </c>
      <c r="G168" s="12" t="n">
        <v>10.851</v>
      </c>
    </row>
    <row r="169" customFormat="false" ht="15" hidden="false" customHeight="false" outlineLevel="0" collapsed="false">
      <c r="A169" s="14" t="s">
        <v>52</v>
      </c>
      <c r="B169" s="14" t="s">
        <v>53</v>
      </c>
      <c r="C169" s="14" t="s">
        <v>51</v>
      </c>
      <c r="D169" s="14" t="n">
        <v>2</v>
      </c>
      <c r="E169" s="14" t="n">
        <v>44</v>
      </c>
      <c r="F169" s="15" t="n">
        <v>7634.5</v>
      </c>
      <c r="G169" s="16" t="n">
        <v>12.199</v>
      </c>
    </row>
    <row r="170" customFormat="false" ht="15" hidden="false" customHeight="false" outlineLevel="0" collapsed="false">
      <c r="A170" s="10" t="s">
        <v>52</v>
      </c>
      <c r="B170" s="10" t="s">
        <v>54</v>
      </c>
      <c r="C170" s="10" t="s">
        <v>51</v>
      </c>
      <c r="D170" s="10" t="n">
        <v>0</v>
      </c>
      <c r="E170" s="10" t="n">
        <v>42</v>
      </c>
      <c r="F170" s="11" t="n">
        <v>7718.98</v>
      </c>
      <c r="G170" s="12" t="n">
        <v>10.583</v>
      </c>
    </row>
    <row r="171" customFormat="false" ht="15" hidden="false" customHeight="false" outlineLevel="0" collapsed="false">
      <c r="A171" s="14" t="s">
        <v>52</v>
      </c>
      <c r="B171" s="14" t="s">
        <v>54</v>
      </c>
      <c r="C171" s="14" t="s">
        <v>51</v>
      </c>
      <c r="D171" s="14" t="n">
        <v>1</v>
      </c>
      <c r="E171" s="14" t="n">
        <v>43</v>
      </c>
      <c r="F171" s="15" t="n">
        <v>7632.85</v>
      </c>
      <c r="G171" s="16" t="n">
        <v>10.732</v>
      </c>
    </row>
    <row r="172" customFormat="false" ht="15" hidden="false" customHeight="false" outlineLevel="0" collapsed="false">
      <c r="A172" s="10" t="s">
        <v>52</v>
      </c>
      <c r="B172" s="10" t="s">
        <v>54</v>
      </c>
      <c r="C172" s="10" t="s">
        <v>51</v>
      </c>
      <c r="D172" s="10" t="n">
        <v>2</v>
      </c>
      <c r="E172" s="10" t="n">
        <v>44</v>
      </c>
      <c r="F172" s="11" t="n">
        <v>7731.54</v>
      </c>
      <c r="G172" s="12" t="n">
        <v>11.004</v>
      </c>
    </row>
    <row r="173" customFormat="false" ht="15" hidden="false" customHeight="false" outlineLevel="0" collapsed="false">
      <c r="A173" s="14" t="s">
        <v>52</v>
      </c>
      <c r="B173" s="14" t="s">
        <v>55</v>
      </c>
      <c r="C173" s="14" t="s">
        <v>51</v>
      </c>
      <c r="D173" s="14" t="n">
        <v>0</v>
      </c>
      <c r="E173" s="14" t="n">
        <v>42</v>
      </c>
      <c r="F173" s="15" t="n">
        <v>7707.8</v>
      </c>
      <c r="G173" s="16" t="n">
        <v>11.164</v>
      </c>
    </row>
    <row r="174" customFormat="false" ht="15" hidden="false" customHeight="false" outlineLevel="0" collapsed="false">
      <c r="A174" s="10" t="s">
        <v>52</v>
      </c>
      <c r="B174" s="10" t="s">
        <v>55</v>
      </c>
      <c r="C174" s="10" t="s">
        <v>51</v>
      </c>
      <c r="D174" s="10" t="n">
        <v>1</v>
      </c>
      <c r="E174" s="10" t="n">
        <v>43</v>
      </c>
      <c r="F174" s="11" t="n">
        <v>7710.32</v>
      </c>
      <c r="G174" s="12" t="n">
        <v>10.098</v>
      </c>
    </row>
    <row r="175" customFormat="false" ht="15" hidden="false" customHeight="false" outlineLevel="0" collapsed="false">
      <c r="A175" s="14" t="s">
        <v>52</v>
      </c>
      <c r="B175" s="14" t="s">
        <v>55</v>
      </c>
      <c r="C175" s="14" t="s">
        <v>51</v>
      </c>
      <c r="D175" s="14" t="n">
        <v>2</v>
      </c>
      <c r="E175" s="14" t="n">
        <v>44</v>
      </c>
      <c r="F175" s="15" t="n">
        <v>7668.7</v>
      </c>
      <c r="G175" s="16" t="n">
        <v>11.863</v>
      </c>
    </row>
    <row r="176" customFormat="false" ht="15" hidden="false" customHeight="false" outlineLevel="0" collapsed="false">
      <c r="A176" s="10" t="s">
        <v>52</v>
      </c>
      <c r="B176" s="10" t="s">
        <v>56</v>
      </c>
      <c r="C176" s="10" t="s">
        <v>51</v>
      </c>
      <c r="D176" s="10" t="n">
        <v>0</v>
      </c>
      <c r="E176" s="10" t="n">
        <v>42</v>
      </c>
      <c r="F176" s="11" t="n">
        <v>7695.9</v>
      </c>
      <c r="G176" s="12" t="n">
        <v>11.711</v>
      </c>
    </row>
    <row r="177" customFormat="false" ht="15" hidden="false" customHeight="false" outlineLevel="0" collapsed="false">
      <c r="A177" s="14" t="s">
        <v>52</v>
      </c>
      <c r="B177" s="14" t="s">
        <v>56</v>
      </c>
      <c r="C177" s="14" t="s">
        <v>51</v>
      </c>
      <c r="D177" s="14" t="n">
        <v>1</v>
      </c>
      <c r="E177" s="14" t="n">
        <v>43</v>
      </c>
      <c r="F177" s="15" t="n">
        <v>7668.57</v>
      </c>
      <c r="G177" s="16" t="n">
        <v>11.386</v>
      </c>
    </row>
    <row r="178" customFormat="false" ht="15" hidden="false" customHeight="false" outlineLevel="0" collapsed="false">
      <c r="A178" s="10" t="s">
        <v>52</v>
      </c>
      <c r="B178" s="10" t="s">
        <v>56</v>
      </c>
      <c r="C178" s="10" t="s">
        <v>51</v>
      </c>
      <c r="D178" s="10" t="n">
        <v>2</v>
      </c>
      <c r="E178" s="10" t="n">
        <v>44</v>
      </c>
      <c r="F178" s="11" t="n">
        <v>7703.27</v>
      </c>
      <c r="G178" s="12" t="n">
        <v>10.277</v>
      </c>
    </row>
    <row r="179" customFormat="false" ht="15" hidden="false" customHeight="false" outlineLevel="0" collapsed="false">
      <c r="A179" s="14" t="s">
        <v>52</v>
      </c>
      <c r="B179" s="14" t="s">
        <v>57</v>
      </c>
      <c r="C179" s="14" t="s">
        <v>51</v>
      </c>
      <c r="D179" s="14" t="n">
        <v>0</v>
      </c>
      <c r="E179" s="14" t="n">
        <v>42</v>
      </c>
      <c r="F179" s="15" t="n">
        <v>7694.77</v>
      </c>
      <c r="G179" s="16" t="n">
        <v>11.058</v>
      </c>
    </row>
    <row r="180" customFormat="false" ht="15" hidden="false" customHeight="false" outlineLevel="0" collapsed="false">
      <c r="A180" s="10" t="s">
        <v>52</v>
      </c>
      <c r="B180" s="10" t="s">
        <v>57</v>
      </c>
      <c r="C180" s="10" t="s">
        <v>51</v>
      </c>
      <c r="D180" s="10" t="n">
        <v>1</v>
      </c>
      <c r="E180" s="10" t="n">
        <v>43</v>
      </c>
      <c r="F180" s="11" t="n">
        <v>7698.01</v>
      </c>
      <c r="G180" s="12" t="n">
        <v>11.056</v>
      </c>
    </row>
    <row r="181" customFormat="false" ht="15" hidden="false" customHeight="false" outlineLevel="0" collapsed="false">
      <c r="A181" s="14" t="s">
        <v>52</v>
      </c>
      <c r="B181" s="14" t="s">
        <v>57</v>
      </c>
      <c r="C181" s="14" t="s">
        <v>51</v>
      </c>
      <c r="D181" s="14" t="n">
        <v>2</v>
      </c>
      <c r="E181" s="14" t="n">
        <v>44</v>
      </c>
      <c r="F181" s="15" t="n">
        <v>7722.3</v>
      </c>
      <c r="G181" s="16" t="n">
        <v>11.964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14"/>
    <col collapsed="false" customWidth="true" hidden="false" outlineLevel="0" max="3" min="3" style="0" width="23"/>
    <col collapsed="false" customWidth="true" hidden="false" outlineLevel="0" max="4" min="4" style="0" width="11"/>
    <col collapsed="false" customWidth="true" hidden="false" outlineLevel="0" max="5" min="5" style="0" width="17"/>
    <col collapsed="false" customWidth="true" hidden="false" outlineLevel="0" max="6" min="6" style="0" width="19"/>
    <col collapsed="false" customWidth="true" hidden="false" outlineLevel="0" max="8" min="7" style="0" width="15"/>
    <col collapsed="false" customWidth="true" hidden="false" outlineLevel="0" max="11" min="9" style="0" width="19"/>
  </cols>
  <sheetData>
    <row r="1" customFormat="false" ht="30" hidden="false" customHeight="true" outlineLevel="0" collapsed="false">
      <c r="A1" s="9" t="s">
        <v>36</v>
      </c>
      <c r="B1" s="9" t="s">
        <v>68</v>
      </c>
      <c r="C1" s="9" t="s">
        <v>37</v>
      </c>
      <c r="D1" s="9" t="s">
        <v>38</v>
      </c>
      <c r="E1" s="9" t="s">
        <v>69</v>
      </c>
      <c r="F1" s="9" t="s">
        <v>39</v>
      </c>
      <c r="G1" s="9" t="s">
        <v>40</v>
      </c>
      <c r="H1" s="9" t="s">
        <v>41</v>
      </c>
      <c r="I1" s="9" t="s">
        <v>42</v>
      </c>
      <c r="J1" s="9" t="s">
        <v>43</v>
      </c>
      <c r="K1" s="9" t="s">
        <v>44</v>
      </c>
    </row>
    <row r="2" customFormat="false" ht="15" hidden="false" customHeight="false" outlineLevel="0" collapsed="false">
      <c r="A2" s="10" t="s">
        <v>45</v>
      </c>
      <c r="B2" s="10" t="s">
        <v>70</v>
      </c>
      <c r="C2" s="10" t="s">
        <v>46</v>
      </c>
      <c r="D2" s="10" t="n">
        <v>0.1</v>
      </c>
      <c r="E2" s="10" t="n">
        <v>15</v>
      </c>
      <c r="F2" s="11" t="n">
        <v>360.15</v>
      </c>
      <c r="G2" s="11" t="n">
        <v>360.15</v>
      </c>
      <c r="H2" s="11" t="n">
        <v>360.15</v>
      </c>
      <c r="I2" s="11" t="n">
        <v>0</v>
      </c>
      <c r="J2" s="12" t="n">
        <v>10</v>
      </c>
      <c r="K2" s="13" t="n">
        <v>0</v>
      </c>
    </row>
    <row r="3" customFormat="false" ht="15" hidden="false" customHeight="false" outlineLevel="0" collapsed="false">
      <c r="A3" s="14" t="s">
        <v>45</v>
      </c>
      <c r="B3" s="14" t="s">
        <v>70</v>
      </c>
      <c r="C3" s="14" t="s">
        <v>47</v>
      </c>
      <c r="D3" s="14" t="n">
        <v>0.1</v>
      </c>
      <c r="E3" s="14" t="n">
        <v>15</v>
      </c>
      <c r="F3" s="15" t="n">
        <v>355.72</v>
      </c>
      <c r="G3" s="15" t="n">
        <v>355.72</v>
      </c>
      <c r="H3" s="15" t="n">
        <v>355.72</v>
      </c>
      <c r="I3" s="15" t="n">
        <v>0</v>
      </c>
      <c r="J3" s="16" t="n">
        <v>10</v>
      </c>
      <c r="K3" s="17" t="n">
        <v>0</v>
      </c>
    </row>
    <row r="4" customFormat="false" ht="15" hidden="false" customHeight="false" outlineLevel="0" collapsed="false">
      <c r="A4" s="10" t="s">
        <v>45</v>
      </c>
      <c r="B4" s="10" t="s">
        <v>70</v>
      </c>
      <c r="C4" s="10" t="s">
        <v>48</v>
      </c>
      <c r="D4" s="10" t="n">
        <v>0.1</v>
      </c>
      <c r="E4" s="10" t="n">
        <v>15</v>
      </c>
      <c r="F4" s="11" t="n">
        <v>355.5</v>
      </c>
      <c r="G4" s="11" t="n">
        <v>355.5</v>
      </c>
      <c r="H4" s="11" t="n">
        <v>355.5</v>
      </c>
      <c r="I4" s="11" t="n">
        <v>0</v>
      </c>
      <c r="J4" s="12" t="n">
        <v>10.001</v>
      </c>
      <c r="K4" s="13" t="n">
        <v>0</v>
      </c>
    </row>
    <row r="5" customFormat="false" ht="15" hidden="false" customHeight="false" outlineLevel="0" collapsed="false">
      <c r="A5" s="14" t="s">
        <v>45</v>
      </c>
      <c r="B5" s="14" t="s">
        <v>70</v>
      </c>
      <c r="C5" s="14" t="s">
        <v>49</v>
      </c>
      <c r="D5" s="14" t="n">
        <v>0.1</v>
      </c>
      <c r="E5" s="14" t="n">
        <v>15</v>
      </c>
      <c r="F5" s="15" t="n">
        <v>354.25</v>
      </c>
      <c r="G5" s="15" t="n">
        <v>354.25</v>
      </c>
      <c r="H5" s="15" t="n">
        <v>354.25</v>
      </c>
      <c r="I5" s="15" t="n">
        <v>0</v>
      </c>
      <c r="J5" s="16" t="n">
        <v>10.001</v>
      </c>
      <c r="K5" s="17" t="n">
        <v>0</v>
      </c>
    </row>
    <row r="6" customFormat="false" ht="15" hidden="false" customHeight="false" outlineLevel="0" collapsed="false">
      <c r="A6" s="10" t="s">
        <v>45</v>
      </c>
      <c r="B6" s="10" t="s">
        <v>70</v>
      </c>
      <c r="C6" s="10" t="s">
        <v>50</v>
      </c>
      <c r="D6" s="10" t="n">
        <v>0.1</v>
      </c>
      <c r="E6" s="10" t="n">
        <v>15</v>
      </c>
      <c r="F6" s="11" t="n">
        <v>356.06</v>
      </c>
      <c r="G6" s="11" t="n">
        <v>356.06</v>
      </c>
      <c r="H6" s="11" t="n">
        <v>356.06</v>
      </c>
      <c r="I6" s="11" t="n">
        <v>0</v>
      </c>
      <c r="J6" s="12" t="n">
        <v>10.001</v>
      </c>
      <c r="K6" s="13" t="n">
        <v>0</v>
      </c>
    </row>
    <row r="7" customFormat="false" ht="15" hidden="false" customHeight="false" outlineLevel="0" collapsed="false">
      <c r="A7" s="14" t="s">
        <v>45</v>
      </c>
      <c r="B7" s="14" t="s">
        <v>70</v>
      </c>
      <c r="C7" s="14" t="s">
        <v>46</v>
      </c>
      <c r="D7" s="14" t="n">
        <v>0.25</v>
      </c>
      <c r="E7" s="14" t="n">
        <v>15</v>
      </c>
      <c r="F7" s="15" t="n">
        <v>360.15</v>
      </c>
      <c r="G7" s="15" t="n">
        <v>360.15</v>
      </c>
      <c r="H7" s="15" t="n">
        <v>360.15</v>
      </c>
      <c r="I7" s="15" t="n">
        <v>0</v>
      </c>
      <c r="J7" s="16" t="n">
        <v>10</v>
      </c>
      <c r="K7" s="17" t="n">
        <v>0</v>
      </c>
    </row>
    <row r="8" customFormat="false" ht="15" hidden="false" customHeight="false" outlineLevel="0" collapsed="false">
      <c r="A8" s="10" t="s">
        <v>45</v>
      </c>
      <c r="B8" s="10" t="s">
        <v>70</v>
      </c>
      <c r="C8" s="10" t="s">
        <v>47</v>
      </c>
      <c r="D8" s="10" t="n">
        <v>0.25</v>
      </c>
      <c r="E8" s="10" t="n">
        <v>15</v>
      </c>
      <c r="F8" s="11" t="n">
        <v>355.72</v>
      </c>
      <c r="G8" s="11" t="n">
        <v>355.72</v>
      </c>
      <c r="H8" s="11" t="n">
        <v>355.72</v>
      </c>
      <c r="I8" s="11" t="n">
        <v>0</v>
      </c>
      <c r="J8" s="12" t="n">
        <v>10.001</v>
      </c>
      <c r="K8" s="13" t="n">
        <v>0</v>
      </c>
    </row>
    <row r="9" customFormat="false" ht="15" hidden="false" customHeight="false" outlineLevel="0" collapsed="false">
      <c r="A9" s="14" t="s">
        <v>45</v>
      </c>
      <c r="B9" s="14" t="s">
        <v>70</v>
      </c>
      <c r="C9" s="14" t="s">
        <v>48</v>
      </c>
      <c r="D9" s="14" t="n">
        <v>0.25</v>
      </c>
      <c r="E9" s="14" t="n">
        <v>15</v>
      </c>
      <c r="F9" s="15" t="n">
        <v>355.5</v>
      </c>
      <c r="G9" s="15" t="n">
        <v>355.5</v>
      </c>
      <c r="H9" s="15" t="n">
        <v>355.5</v>
      </c>
      <c r="I9" s="15" t="n">
        <v>0</v>
      </c>
      <c r="J9" s="16" t="n">
        <v>10</v>
      </c>
      <c r="K9" s="17" t="n">
        <v>0</v>
      </c>
    </row>
    <row r="10" customFormat="false" ht="15" hidden="false" customHeight="false" outlineLevel="0" collapsed="false">
      <c r="A10" s="10" t="s">
        <v>45</v>
      </c>
      <c r="B10" s="10" t="s">
        <v>70</v>
      </c>
      <c r="C10" s="10" t="s">
        <v>49</v>
      </c>
      <c r="D10" s="10" t="n">
        <v>0.25</v>
      </c>
      <c r="E10" s="10" t="n">
        <v>15</v>
      </c>
      <c r="F10" s="11" t="n">
        <v>354.25</v>
      </c>
      <c r="G10" s="11" t="n">
        <v>354.25</v>
      </c>
      <c r="H10" s="11" t="n">
        <v>354.25</v>
      </c>
      <c r="I10" s="11" t="n">
        <v>0</v>
      </c>
      <c r="J10" s="12" t="n">
        <v>10</v>
      </c>
      <c r="K10" s="13" t="n">
        <v>0</v>
      </c>
    </row>
    <row r="11" customFormat="false" ht="15" hidden="false" customHeight="false" outlineLevel="0" collapsed="false">
      <c r="A11" s="14" t="s">
        <v>45</v>
      </c>
      <c r="B11" s="14" t="s">
        <v>70</v>
      </c>
      <c r="C11" s="14" t="s">
        <v>50</v>
      </c>
      <c r="D11" s="14" t="n">
        <v>0.25</v>
      </c>
      <c r="E11" s="14" t="n">
        <v>15</v>
      </c>
      <c r="F11" s="15" t="n">
        <v>356.06</v>
      </c>
      <c r="G11" s="15" t="n">
        <v>356.06</v>
      </c>
      <c r="H11" s="15" t="n">
        <v>356.06</v>
      </c>
      <c r="I11" s="15" t="n">
        <v>0</v>
      </c>
      <c r="J11" s="16" t="n">
        <v>10.001</v>
      </c>
      <c r="K11" s="17" t="n">
        <v>0</v>
      </c>
    </row>
    <row r="12" customFormat="false" ht="15" hidden="false" customHeight="false" outlineLevel="0" collapsed="false">
      <c r="A12" s="10" t="s">
        <v>45</v>
      </c>
      <c r="B12" s="10" t="s">
        <v>70</v>
      </c>
      <c r="C12" s="10" t="s">
        <v>46</v>
      </c>
      <c r="D12" s="10" t="n">
        <v>0.5</v>
      </c>
      <c r="E12" s="10" t="n">
        <v>15</v>
      </c>
      <c r="F12" s="11" t="n">
        <v>360.15</v>
      </c>
      <c r="G12" s="11" t="n">
        <v>360.15</v>
      </c>
      <c r="H12" s="11" t="n">
        <v>360.15</v>
      </c>
      <c r="I12" s="11" t="n">
        <v>0</v>
      </c>
      <c r="J12" s="12" t="n">
        <v>10</v>
      </c>
      <c r="K12" s="13" t="n">
        <v>0</v>
      </c>
    </row>
    <row r="13" customFormat="false" ht="15" hidden="false" customHeight="false" outlineLevel="0" collapsed="false">
      <c r="A13" s="14" t="s">
        <v>45</v>
      </c>
      <c r="B13" s="14" t="s">
        <v>70</v>
      </c>
      <c r="C13" s="14" t="s">
        <v>47</v>
      </c>
      <c r="D13" s="14" t="n">
        <v>0.5</v>
      </c>
      <c r="E13" s="14" t="n">
        <v>15</v>
      </c>
      <c r="F13" s="15" t="n">
        <v>355.72</v>
      </c>
      <c r="G13" s="15" t="n">
        <v>355.72</v>
      </c>
      <c r="H13" s="15" t="n">
        <v>355.72</v>
      </c>
      <c r="I13" s="15" t="n">
        <v>0</v>
      </c>
      <c r="J13" s="16" t="n">
        <v>10.001</v>
      </c>
      <c r="K13" s="17" t="n">
        <v>0</v>
      </c>
    </row>
    <row r="14" customFormat="false" ht="15" hidden="false" customHeight="false" outlineLevel="0" collapsed="false">
      <c r="A14" s="10" t="s">
        <v>45</v>
      </c>
      <c r="B14" s="10" t="s">
        <v>70</v>
      </c>
      <c r="C14" s="10" t="s">
        <v>48</v>
      </c>
      <c r="D14" s="10" t="n">
        <v>0.5</v>
      </c>
      <c r="E14" s="10" t="n">
        <v>15</v>
      </c>
      <c r="F14" s="11" t="n">
        <v>355.5</v>
      </c>
      <c r="G14" s="11" t="n">
        <v>355.5</v>
      </c>
      <c r="H14" s="11" t="n">
        <v>355.5</v>
      </c>
      <c r="I14" s="11" t="n">
        <v>0</v>
      </c>
      <c r="J14" s="12" t="n">
        <v>10</v>
      </c>
      <c r="K14" s="13" t="n">
        <v>0</v>
      </c>
    </row>
    <row r="15" customFormat="false" ht="15" hidden="false" customHeight="false" outlineLevel="0" collapsed="false">
      <c r="A15" s="14" t="s">
        <v>45</v>
      </c>
      <c r="B15" s="14" t="s">
        <v>70</v>
      </c>
      <c r="C15" s="14" t="s">
        <v>49</v>
      </c>
      <c r="D15" s="14" t="n">
        <v>0.5</v>
      </c>
      <c r="E15" s="14" t="n">
        <v>15</v>
      </c>
      <c r="F15" s="15" t="n">
        <v>354.25</v>
      </c>
      <c r="G15" s="15" t="n">
        <v>354.25</v>
      </c>
      <c r="H15" s="15" t="n">
        <v>354.25</v>
      </c>
      <c r="I15" s="15" t="n">
        <v>0</v>
      </c>
      <c r="J15" s="16" t="n">
        <v>10.001</v>
      </c>
      <c r="K15" s="17" t="n">
        <v>0</v>
      </c>
    </row>
    <row r="16" customFormat="false" ht="15" hidden="false" customHeight="false" outlineLevel="0" collapsed="false">
      <c r="A16" s="10" t="s">
        <v>45</v>
      </c>
      <c r="B16" s="10" t="s">
        <v>70</v>
      </c>
      <c r="C16" s="10" t="s">
        <v>50</v>
      </c>
      <c r="D16" s="10" t="n">
        <v>0.5</v>
      </c>
      <c r="E16" s="10" t="n">
        <v>15</v>
      </c>
      <c r="F16" s="11" t="n">
        <v>356.06</v>
      </c>
      <c r="G16" s="11" t="n">
        <v>356.06</v>
      </c>
      <c r="H16" s="11" t="n">
        <v>356.06</v>
      </c>
      <c r="I16" s="11" t="n">
        <v>0</v>
      </c>
      <c r="J16" s="12" t="n">
        <v>10</v>
      </c>
      <c r="K16" s="13" t="n">
        <v>0</v>
      </c>
    </row>
    <row r="17" customFormat="false" ht="15" hidden="false" customHeight="false" outlineLevel="0" collapsed="false">
      <c r="A17" s="14" t="s">
        <v>45</v>
      </c>
      <c r="B17" s="14" t="s">
        <v>70</v>
      </c>
      <c r="C17" s="14" t="s">
        <v>46</v>
      </c>
      <c r="D17" s="14" t="n">
        <v>0.75</v>
      </c>
      <c r="E17" s="14" t="n">
        <v>15</v>
      </c>
      <c r="F17" s="15" t="n">
        <v>360.15</v>
      </c>
      <c r="G17" s="15" t="n">
        <v>360.15</v>
      </c>
      <c r="H17" s="15" t="n">
        <v>360.15</v>
      </c>
      <c r="I17" s="15" t="n">
        <v>0</v>
      </c>
      <c r="J17" s="16" t="n">
        <v>10</v>
      </c>
      <c r="K17" s="17" t="n">
        <v>0</v>
      </c>
    </row>
    <row r="18" customFormat="false" ht="15" hidden="false" customHeight="false" outlineLevel="0" collapsed="false">
      <c r="A18" s="10" t="s">
        <v>45</v>
      </c>
      <c r="B18" s="10" t="s">
        <v>70</v>
      </c>
      <c r="C18" s="10" t="s">
        <v>47</v>
      </c>
      <c r="D18" s="10" t="n">
        <v>0.75</v>
      </c>
      <c r="E18" s="10" t="n">
        <v>15</v>
      </c>
      <c r="F18" s="11" t="n">
        <v>355.72</v>
      </c>
      <c r="G18" s="11" t="n">
        <v>355.72</v>
      </c>
      <c r="H18" s="11" t="n">
        <v>355.72</v>
      </c>
      <c r="I18" s="11" t="n">
        <v>0</v>
      </c>
      <c r="J18" s="12" t="n">
        <v>10</v>
      </c>
      <c r="K18" s="13" t="n">
        <v>0</v>
      </c>
    </row>
    <row r="19" customFormat="false" ht="15" hidden="false" customHeight="false" outlineLevel="0" collapsed="false">
      <c r="A19" s="14" t="s">
        <v>45</v>
      </c>
      <c r="B19" s="14" t="s">
        <v>70</v>
      </c>
      <c r="C19" s="14" t="s">
        <v>48</v>
      </c>
      <c r="D19" s="14" t="n">
        <v>0.75</v>
      </c>
      <c r="E19" s="14" t="n">
        <v>15</v>
      </c>
      <c r="F19" s="15" t="n">
        <v>355.5</v>
      </c>
      <c r="G19" s="15" t="n">
        <v>355.5</v>
      </c>
      <c r="H19" s="15" t="n">
        <v>355.5</v>
      </c>
      <c r="I19" s="15" t="n">
        <v>0</v>
      </c>
      <c r="J19" s="16" t="n">
        <v>10</v>
      </c>
      <c r="K19" s="17" t="n">
        <v>0</v>
      </c>
    </row>
    <row r="20" customFormat="false" ht="15" hidden="false" customHeight="false" outlineLevel="0" collapsed="false">
      <c r="A20" s="10" t="s">
        <v>45</v>
      </c>
      <c r="B20" s="10" t="s">
        <v>70</v>
      </c>
      <c r="C20" s="10" t="s">
        <v>49</v>
      </c>
      <c r="D20" s="10" t="n">
        <v>0.75</v>
      </c>
      <c r="E20" s="10" t="n">
        <v>15</v>
      </c>
      <c r="F20" s="11" t="n">
        <v>354.25</v>
      </c>
      <c r="G20" s="11" t="n">
        <v>354.25</v>
      </c>
      <c r="H20" s="11" t="n">
        <v>354.25</v>
      </c>
      <c r="I20" s="11" t="n">
        <v>0</v>
      </c>
      <c r="J20" s="12" t="n">
        <v>10.001</v>
      </c>
      <c r="K20" s="13" t="n">
        <v>0</v>
      </c>
    </row>
    <row r="21" customFormat="false" ht="15" hidden="false" customHeight="false" outlineLevel="0" collapsed="false">
      <c r="A21" s="14" t="s">
        <v>45</v>
      </c>
      <c r="B21" s="14" t="s">
        <v>70</v>
      </c>
      <c r="C21" s="14" t="s">
        <v>50</v>
      </c>
      <c r="D21" s="14" t="n">
        <v>0.75</v>
      </c>
      <c r="E21" s="14" t="n">
        <v>15</v>
      </c>
      <c r="F21" s="15" t="n">
        <v>356.06</v>
      </c>
      <c r="G21" s="15" t="n">
        <v>356.06</v>
      </c>
      <c r="H21" s="15" t="n">
        <v>356.06</v>
      </c>
      <c r="I21" s="15" t="n">
        <v>0</v>
      </c>
      <c r="J21" s="16" t="n">
        <v>10.001</v>
      </c>
      <c r="K21" s="17" t="n">
        <v>0</v>
      </c>
    </row>
    <row r="22" customFormat="false" ht="15" hidden="false" customHeight="false" outlineLevel="0" collapsed="false">
      <c r="A22" s="10" t="s">
        <v>45</v>
      </c>
      <c r="B22" s="10" t="s">
        <v>70</v>
      </c>
      <c r="C22" s="10" t="s">
        <v>46</v>
      </c>
      <c r="D22" s="10" t="n">
        <v>0.9</v>
      </c>
      <c r="E22" s="10" t="n">
        <v>15</v>
      </c>
      <c r="F22" s="11" t="n">
        <v>360.15</v>
      </c>
      <c r="G22" s="11" t="n">
        <v>360.15</v>
      </c>
      <c r="H22" s="11" t="n">
        <v>360.15</v>
      </c>
      <c r="I22" s="11" t="n">
        <v>0</v>
      </c>
      <c r="J22" s="12" t="n">
        <v>10</v>
      </c>
      <c r="K22" s="13" t="n">
        <v>0</v>
      </c>
    </row>
    <row r="23" customFormat="false" ht="15" hidden="false" customHeight="false" outlineLevel="0" collapsed="false">
      <c r="A23" s="14" t="s">
        <v>45</v>
      </c>
      <c r="B23" s="14" t="s">
        <v>70</v>
      </c>
      <c r="C23" s="14" t="s">
        <v>47</v>
      </c>
      <c r="D23" s="14" t="n">
        <v>0.9</v>
      </c>
      <c r="E23" s="14" t="n">
        <v>15</v>
      </c>
      <c r="F23" s="15" t="n">
        <v>355.72</v>
      </c>
      <c r="G23" s="15" t="n">
        <v>355.72</v>
      </c>
      <c r="H23" s="15" t="n">
        <v>355.72</v>
      </c>
      <c r="I23" s="15" t="n">
        <v>0</v>
      </c>
      <c r="J23" s="16" t="n">
        <v>10</v>
      </c>
      <c r="K23" s="17" t="n">
        <v>0</v>
      </c>
    </row>
    <row r="24" customFormat="false" ht="15" hidden="false" customHeight="false" outlineLevel="0" collapsed="false">
      <c r="A24" s="10" t="s">
        <v>45</v>
      </c>
      <c r="B24" s="10" t="s">
        <v>70</v>
      </c>
      <c r="C24" s="10" t="s">
        <v>48</v>
      </c>
      <c r="D24" s="10" t="n">
        <v>0.9</v>
      </c>
      <c r="E24" s="10" t="n">
        <v>15</v>
      </c>
      <c r="F24" s="11" t="n">
        <v>355.5</v>
      </c>
      <c r="G24" s="11" t="n">
        <v>355.5</v>
      </c>
      <c r="H24" s="11" t="n">
        <v>355.5</v>
      </c>
      <c r="I24" s="11" t="n">
        <v>0</v>
      </c>
      <c r="J24" s="12" t="n">
        <v>10</v>
      </c>
      <c r="K24" s="13" t="n">
        <v>0</v>
      </c>
    </row>
    <row r="25" customFormat="false" ht="15" hidden="false" customHeight="false" outlineLevel="0" collapsed="false">
      <c r="A25" s="14" t="s">
        <v>45</v>
      </c>
      <c r="B25" s="14" t="s">
        <v>70</v>
      </c>
      <c r="C25" s="14" t="s">
        <v>49</v>
      </c>
      <c r="D25" s="14" t="n">
        <v>0.9</v>
      </c>
      <c r="E25" s="14" t="n">
        <v>15</v>
      </c>
      <c r="F25" s="15" t="n">
        <v>354.25</v>
      </c>
      <c r="G25" s="15" t="n">
        <v>354.25</v>
      </c>
      <c r="H25" s="15" t="n">
        <v>354.25</v>
      </c>
      <c r="I25" s="15" t="n">
        <v>0</v>
      </c>
      <c r="J25" s="16" t="n">
        <v>10</v>
      </c>
      <c r="K25" s="17" t="n">
        <v>0</v>
      </c>
    </row>
    <row r="26" customFormat="false" ht="15" hidden="false" customHeight="false" outlineLevel="0" collapsed="false">
      <c r="A26" s="10" t="s">
        <v>45</v>
      </c>
      <c r="B26" s="10" t="s">
        <v>70</v>
      </c>
      <c r="C26" s="10" t="s">
        <v>50</v>
      </c>
      <c r="D26" s="10" t="n">
        <v>0.9</v>
      </c>
      <c r="E26" s="10" t="n">
        <v>15</v>
      </c>
      <c r="F26" s="11" t="n">
        <v>356.06</v>
      </c>
      <c r="G26" s="11" t="n">
        <v>356.06</v>
      </c>
      <c r="H26" s="11" t="n">
        <v>356.06</v>
      </c>
      <c r="I26" s="11" t="n">
        <v>0</v>
      </c>
      <c r="J26" s="12" t="n">
        <v>10.001</v>
      </c>
      <c r="K26" s="13" t="n">
        <v>0</v>
      </c>
    </row>
    <row r="27" customFormat="false" ht="15" hidden="false" customHeight="false" outlineLevel="0" collapsed="false">
      <c r="A27" s="14" t="s">
        <v>45</v>
      </c>
      <c r="B27" s="14" t="s">
        <v>70</v>
      </c>
      <c r="C27" s="14" t="s">
        <v>46</v>
      </c>
      <c r="D27" s="14" t="s">
        <v>51</v>
      </c>
      <c r="E27" s="14" t="n">
        <v>15</v>
      </c>
      <c r="F27" s="15" t="n">
        <v>359.25</v>
      </c>
      <c r="G27" s="15" t="n">
        <v>360.15</v>
      </c>
      <c r="H27" s="15" t="n">
        <v>357.44</v>
      </c>
      <c r="I27" s="15" t="n">
        <v>1.5646</v>
      </c>
      <c r="J27" s="16" t="n">
        <v>10</v>
      </c>
      <c r="K27" s="17" t="n">
        <v>0.0957</v>
      </c>
    </row>
    <row r="28" customFormat="false" ht="15" hidden="false" customHeight="false" outlineLevel="0" collapsed="false">
      <c r="A28" s="10" t="s">
        <v>45</v>
      </c>
      <c r="B28" s="10" t="s">
        <v>70</v>
      </c>
      <c r="C28" s="10" t="s">
        <v>47</v>
      </c>
      <c r="D28" s="10" t="s">
        <v>51</v>
      </c>
      <c r="E28" s="10" t="n">
        <v>15</v>
      </c>
      <c r="F28" s="11" t="n">
        <v>355.72</v>
      </c>
      <c r="G28" s="11" t="n">
        <v>355.72</v>
      </c>
      <c r="H28" s="11" t="n">
        <v>355.72</v>
      </c>
      <c r="I28" s="11" t="n">
        <v>0</v>
      </c>
      <c r="J28" s="12" t="n">
        <v>10</v>
      </c>
      <c r="K28" s="13" t="n">
        <v>0.0957</v>
      </c>
    </row>
    <row r="29" customFormat="false" ht="15" hidden="false" customHeight="false" outlineLevel="0" collapsed="false">
      <c r="A29" s="14" t="s">
        <v>45</v>
      </c>
      <c r="B29" s="14" t="s">
        <v>70</v>
      </c>
      <c r="C29" s="14" t="s">
        <v>48</v>
      </c>
      <c r="D29" s="14" t="s">
        <v>51</v>
      </c>
      <c r="E29" s="14" t="n">
        <v>15</v>
      </c>
      <c r="F29" s="15" t="n">
        <v>355.5</v>
      </c>
      <c r="G29" s="15" t="n">
        <v>355.5</v>
      </c>
      <c r="H29" s="15" t="n">
        <v>355.5</v>
      </c>
      <c r="I29" s="15" t="n">
        <v>0</v>
      </c>
      <c r="J29" s="16" t="n">
        <v>10.001</v>
      </c>
      <c r="K29" s="17" t="n">
        <v>0.0957</v>
      </c>
    </row>
    <row r="30" customFormat="false" ht="15" hidden="false" customHeight="false" outlineLevel="0" collapsed="false">
      <c r="A30" s="10" t="s">
        <v>45</v>
      </c>
      <c r="B30" s="10" t="s">
        <v>70</v>
      </c>
      <c r="C30" s="10" t="s">
        <v>49</v>
      </c>
      <c r="D30" s="10" t="s">
        <v>51</v>
      </c>
      <c r="E30" s="10" t="n">
        <v>15</v>
      </c>
      <c r="F30" s="11" t="n">
        <v>353.44</v>
      </c>
      <c r="G30" s="11" t="n">
        <v>354.25</v>
      </c>
      <c r="H30" s="11" t="n">
        <v>351.82</v>
      </c>
      <c r="I30" s="11" t="n">
        <v>1.403</v>
      </c>
      <c r="J30" s="12" t="n">
        <v>10.001</v>
      </c>
      <c r="K30" s="13" t="n">
        <v>0.0957</v>
      </c>
    </row>
    <row r="31" customFormat="false" ht="15" hidden="false" customHeight="false" outlineLevel="0" collapsed="false">
      <c r="A31" s="14" t="s">
        <v>45</v>
      </c>
      <c r="B31" s="14" t="s">
        <v>70</v>
      </c>
      <c r="C31" s="14" t="s">
        <v>50</v>
      </c>
      <c r="D31" s="14" t="s">
        <v>51</v>
      </c>
      <c r="E31" s="14" t="n">
        <v>15</v>
      </c>
      <c r="F31" s="15" t="n">
        <v>356.06</v>
      </c>
      <c r="G31" s="15" t="n">
        <v>356.06</v>
      </c>
      <c r="H31" s="15" t="n">
        <v>356.06</v>
      </c>
      <c r="I31" s="15" t="n">
        <v>0</v>
      </c>
      <c r="J31" s="16" t="n">
        <v>10.001</v>
      </c>
      <c r="K31" s="17" t="n">
        <v>0.0957</v>
      </c>
    </row>
    <row r="32" customFormat="false" ht="15" hidden="false" customHeight="false" outlineLevel="0" collapsed="false">
      <c r="A32" s="10" t="s">
        <v>45</v>
      </c>
      <c r="B32" s="10" t="s">
        <v>71</v>
      </c>
      <c r="C32" s="10" t="s">
        <v>46</v>
      </c>
      <c r="D32" s="10" t="n">
        <v>0.25</v>
      </c>
      <c r="E32" s="10" t="n">
        <v>5</v>
      </c>
      <c r="F32" s="11" t="n">
        <v>360.15</v>
      </c>
      <c r="G32" s="11" t="n">
        <v>360.15</v>
      </c>
      <c r="H32" s="11" t="n">
        <v>360.15</v>
      </c>
      <c r="I32" s="11" t="n">
        <v>0</v>
      </c>
      <c r="J32" s="12" t="n">
        <v>10</v>
      </c>
      <c r="K32" s="13" t="n">
        <v>0.2706</v>
      </c>
    </row>
    <row r="33" customFormat="false" ht="15" hidden="false" customHeight="false" outlineLevel="0" collapsed="false">
      <c r="A33" s="14" t="s">
        <v>45</v>
      </c>
      <c r="B33" s="14" t="s">
        <v>71</v>
      </c>
      <c r="C33" s="14" t="s">
        <v>47</v>
      </c>
      <c r="D33" s="14" t="n">
        <v>0.25</v>
      </c>
      <c r="E33" s="14" t="n">
        <v>5</v>
      </c>
      <c r="F33" s="15" t="n">
        <v>355.72</v>
      </c>
      <c r="G33" s="15" t="n">
        <v>355.72</v>
      </c>
      <c r="H33" s="15" t="n">
        <v>355.72</v>
      </c>
      <c r="I33" s="15" t="n">
        <v>0</v>
      </c>
      <c r="J33" s="16" t="n">
        <v>10.001</v>
      </c>
      <c r="K33" s="17" t="n">
        <v>0.2706</v>
      </c>
    </row>
    <row r="34" customFormat="false" ht="15" hidden="false" customHeight="false" outlineLevel="0" collapsed="false">
      <c r="A34" s="10" t="s">
        <v>45</v>
      </c>
      <c r="B34" s="10" t="s">
        <v>71</v>
      </c>
      <c r="C34" s="10" t="s">
        <v>48</v>
      </c>
      <c r="D34" s="10" t="n">
        <v>0.25</v>
      </c>
      <c r="E34" s="10" t="n">
        <v>5</v>
      </c>
      <c r="F34" s="11" t="n">
        <v>355.5</v>
      </c>
      <c r="G34" s="11" t="n">
        <v>355.5</v>
      </c>
      <c r="H34" s="11" t="n">
        <v>355.5</v>
      </c>
      <c r="I34" s="11" t="n">
        <v>0</v>
      </c>
      <c r="J34" s="12" t="n">
        <v>10</v>
      </c>
      <c r="K34" s="13" t="n">
        <v>0.2706</v>
      </c>
    </row>
    <row r="35" customFormat="false" ht="15" hidden="false" customHeight="false" outlineLevel="0" collapsed="false">
      <c r="A35" s="14" t="s">
        <v>45</v>
      </c>
      <c r="B35" s="14" t="s">
        <v>71</v>
      </c>
      <c r="C35" s="14" t="s">
        <v>49</v>
      </c>
      <c r="D35" s="14" t="n">
        <v>0.25</v>
      </c>
      <c r="E35" s="14" t="n">
        <v>5</v>
      </c>
      <c r="F35" s="15" t="n">
        <v>352.68</v>
      </c>
      <c r="G35" s="15" t="n">
        <v>354.25</v>
      </c>
      <c r="H35" s="15" t="n">
        <v>349.53</v>
      </c>
      <c r="I35" s="15" t="n">
        <v>2.7251</v>
      </c>
      <c r="J35" s="16" t="n">
        <v>10.001</v>
      </c>
      <c r="K35" s="17" t="n">
        <v>0.2706</v>
      </c>
    </row>
    <row r="36" customFormat="false" ht="15" hidden="false" customHeight="false" outlineLevel="0" collapsed="false">
      <c r="A36" s="10" t="s">
        <v>45</v>
      </c>
      <c r="B36" s="10" t="s">
        <v>71</v>
      </c>
      <c r="C36" s="10" t="s">
        <v>50</v>
      </c>
      <c r="D36" s="10" t="n">
        <v>0.25</v>
      </c>
      <c r="E36" s="10" t="n">
        <v>5</v>
      </c>
      <c r="F36" s="11" t="n">
        <v>352.82</v>
      </c>
      <c r="G36" s="11" t="n">
        <v>356.06</v>
      </c>
      <c r="H36" s="11" t="n">
        <v>349.81</v>
      </c>
      <c r="I36" s="11" t="n">
        <v>3.1313</v>
      </c>
      <c r="J36" s="12" t="n">
        <v>10.001</v>
      </c>
      <c r="K36" s="13" t="n">
        <v>0.2706</v>
      </c>
    </row>
    <row r="37" customFormat="false" ht="15" hidden="false" customHeight="false" outlineLevel="0" collapsed="false">
      <c r="A37" s="14" t="s">
        <v>45</v>
      </c>
      <c r="B37" s="14" t="s">
        <v>71</v>
      </c>
      <c r="C37" s="14" t="s">
        <v>46</v>
      </c>
      <c r="D37" s="14" t="n">
        <v>0.25</v>
      </c>
      <c r="E37" s="14" t="n">
        <v>10</v>
      </c>
      <c r="F37" s="15" t="n">
        <v>360.15</v>
      </c>
      <c r="G37" s="15" t="n">
        <v>360.15</v>
      </c>
      <c r="H37" s="15" t="n">
        <v>360.15</v>
      </c>
      <c r="I37" s="15" t="n">
        <v>0</v>
      </c>
      <c r="J37" s="16" t="n">
        <v>10.001</v>
      </c>
      <c r="K37" s="17" t="n">
        <v>0</v>
      </c>
    </row>
    <row r="38" customFormat="false" ht="15" hidden="false" customHeight="false" outlineLevel="0" collapsed="false">
      <c r="A38" s="10" t="s">
        <v>45</v>
      </c>
      <c r="B38" s="10" t="s">
        <v>71</v>
      </c>
      <c r="C38" s="10" t="s">
        <v>47</v>
      </c>
      <c r="D38" s="10" t="n">
        <v>0.25</v>
      </c>
      <c r="E38" s="10" t="n">
        <v>10</v>
      </c>
      <c r="F38" s="11" t="n">
        <v>355.72</v>
      </c>
      <c r="G38" s="11" t="n">
        <v>355.72</v>
      </c>
      <c r="H38" s="11" t="n">
        <v>355.72</v>
      </c>
      <c r="I38" s="11" t="n">
        <v>0</v>
      </c>
      <c r="J38" s="12" t="n">
        <v>10</v>
      </c>
      <c r="K38" s="13" t="n">
        <v>0</v>
      </c>
    </row>
    <row r="39" customFormat="false" ht="15" hidden="false" customHeight="false" outlineLevel="0" collapsed="false">
      <c r="A39" s="14" t="s">
        <v>45</v>
      </c>
      <c r="B39" s="14" t="s">
        <v>71</v>
      </c>
      <c r="C39" s="14" t="s">
        <v>48</v>
      </c>
      <c r="D39" s="14" t="n">
        <v>0.25</v>
      </c>
      <c r="E39" s="14" t="n">
        <v>10</v>
      </c>
      <c r="F39" s="15" t="n">
        <v>355.5</v>
      </c>
      <c r="G39" s="15" t="n">
        <v>355.5</v>
      </c>
      <c r="H39" s="15" t="n">
        <v>355.5</v>
      </c>
      <c r="I39" s="15" t="n">
        <v>0</v>
      </c>
      <c r="J39" s="16" t="n">
        <v>10.001</v>
      </c>
      <c r="K39" s="17" t="n">
        <v>0</v>
      </c>
    </row>
    <row r="40" customFormat="false" ht="15" hidden="false" customHeight="false" outlineLevel="0" collapsed="false">
      <c r="A40" s="10" t="s">
        <v>45</v>
      </c>
      <c r="B40" s="10" t="s">
        <v>71</v>
      </c>
      <c r="C40" s="10" t="s">
        <v>49</v>
      </c>
      <c r="D40" s="10" t="n">
        <v>0.25</v>
      </c>
      <c r="E40" s="10" t="n">
        <v>10</v>
      </c>
      <c r="F40" s="11" t="n">
        <v>354.25</v>
      </c>
      <c r="G40" s="11" t="n">
        <v>354.25</v>
      </c>
      <c r="H40" s="11" t="n">
        <v>354.25</v>
      </c>
      <c r="I40" s="11" t="n">
        <v>0</v>
      </c>
      <c r="J40" s="12" t="n">
        <v>10.001</v>
      </c>
      <c r="K40" s="13" t="n">
        <v>0</v>
      </c>
    </row>
    <row r="41" customFormat="false" ht="15" hidden="false" customHeight="false" outlineLevel="0" collapsed="false">
      <c r="A41" s="14" t="s">
        <v>45</v>
      </c>
      <c r="B41" s="14" t="s">
        <v>71</v>
      </c>
      <c r="C41" s="14" t="s">
        <v>50</v>
      </c>
      <c r="D41" s="14" t="n">
        <v>0.25</v>
      </c>
      <c r="E41" s="14" t="n">
        <v>10</v>
      </c>
      <c r="F41" s="15" t="n">
        <v>356.06</v>
      </c>
      <c r="G41" s="15" t="n">
        <v>356.06</v>
      </c>
      <c r="H41" s="15" t="n">
        <v>356.06</v>
      </c>
      <c r="I41" s="15" t="n">
        <v>0</v>
      </c>
      <c r="J41" s="16" t="n">
        <v>10.001</v>
      </c>
      <c r="K41" s="17" t="n">
        <v>0</v>
      </c>
    </row>
    <row r="42" customFormat="false" ht="15" hidden="false" customHeight="false" outlineLevel="0" collapsed="false">
      <c r="A42" s="10" t="s">
        <v>45</v>
      </c>
      <c r="B42" s="10" t="s">
        <v>71</v>
      </c>
      <c r="C42" s="10" t="s">
        <v>46</v>
      </c>
      <c r="D42" s="10" t="n">
        <v>0.25</v>
      </c>
      <c r="E42" s="10" t="n">
        <v>15</v>
      </c>
      <c r="F42" s="11" t="n">
        <v>360.15</v>
      </c>
      <c r="G42" s="11" t="n">
        <v>360.15</v>
      </c>
      <c r="H42" s="11" t="n">
        <v>360.15</v>
      </c>
      <c r="I42" s="11" t="n">
        <v>0</v>
      </c>
      <c r="J42" s="12" t="n">
        <v>10.001</v>
      </c>
      <c r="K42" s="13" t="n">
        <v>0</v>
      </c>
    </row>
    <row r="43" customFormat="false" ht="15" hidden="false" customHeight="false" outlineLevel="0" collapsed="false">
      <c r="A43" s="14" t="s">
        <v>45</v>
      </c>
      <c r="B43" s="14" t="s">
        <v>71</v>
      </c>
      <c r="C43" s="14" t="s">
        <v>47</v>
      </c>
      <c r="D43" s="14" t="n">
        <v>0.25</v>
      </c>
      <c r="E43" s="14" t="n">
        <v>15</v>
      </c>
      <c r="F43" s="15" t="n">
        <v>355.72</v>
      </c>
      <c r="G43" s="15" t="n">
        <v>355.72</v>
      </c>
      <c r="H43" s="15" t="n">
        <v>355.72</v>
      </c>
      <c r="I43" s="15" t="n">
        <v>0</v>
      </c>
      <c r="J43" s="16" t="n">
        <v>10</v>
      </c>
      <c r="K43" s="17" t="n">
        <v>0</v>
      </c>
    </row>
    <row r="44" customFormat="false" ht="15" hidden="false" customHeight="false" outlineLevel="0" collapsed="false">
      <c r="A44" s="10" t="s">
        <v>45</v>
      </c>
      <c r="B44" s="10" t="s">
        <v>71</v>
      </c>
      <c r="C44" s="10" t="s">
        <v>48</v>
      </c>
      <c r="D44" s="10" t="n">
        <v>0.25</v>
      </c>
      <c r="E44" s="10" t="n">
        <v>15</v>
      </c>
      <c r="F44" s="11" t="n">
        <v>355.5</v>
      </c>
      <c r="G44" s="11" t="n">
        <v>355.5</v>
      </c>
      <c r="H44" s="11" t="n">
        <v>355.5</v>
      </c>
      <c r="I44" s="11" t="n">
        <v>0</v>
      </c>
      <c r="J44" s="12" t="n">
        <v>10</v>
      </c>
      <c r="K44" s="13" t="n">
        <v>0</v>
      </c>
    </row>
    <row r="45" customFormat="false" ht="15" hidden="false" customHeight="false" outlineLevel="0" collapsed="false">
      <c r="A45" s="14" t="s">
        <v>45</v>
      </c>
      <c r="B45" s="14" t="s">
        <v>71</v>
      </c>
      <c r="C45" s="14" t="s">
        <v>49</v>
      </c>
      <c r="D45" s="14" t="n">
        <v>0.25</v>
      </c>
      <c r="E45" s="14" t="n">
        <v>15</v>
      </c>
      <c r="F45" s="15" t="n">
        <v>354.25</v>
      </c>
      <c r="G45" s="15" t="n">
        <v>354.25</v>
      </c>
      <c r="H45" s="15" t="n">
        <v>354.25</v>
      </c>
      <c r="I45" s="15" t="n">
        <v>0</v>
      </c>
      <c r="J45" s="16" t="n">
        <v>10</v>
      </c>
      <c r="K45" s="17" t="n">
        <v>0</v>
      </c>
    </row>
    <row r="46" customFormat="false" ht="15" hidden="false" customHeight="false" outlineLevel="0" collapsed="false">
      <c r="A46" s="10" t="s">
        <v>45</v>
      </c>
      <c r="B46" s="10" t="s">
        <v>71</v>
      </c>
      <c r="C46" s="10" t="s">
        <v>50</v>
      </c>
      <c r="D46" s="10" t="n">
        <v>0.25</v>
      </c>
      <c r="E46" s="10" t="n">
        <v>15</v>
      </c>
      <c r="F46" s="11" t="n">
        <v>356.06</v>
      </c>
      <c r="G46" s="11" t="n">
        <v>356.06</v>
      </c>
      <c r="H46" s="11" t="n">
        <v>356.06</v>
      </c>
      <c r="I46" s="11" t="n">
        <v>0</v>
      </c>
      <c r="J46" s="12" t="n">
        <v>10.001</v>
      </c>
      <c r="K46" s="13" t="n">
        <v>0</v>
      </c>
    </row>
    <row r="47" customFormat="false" ht="15" hidden="false" customHeight="false" outlineLevel="0" collapsed="false">
      <c r="A47" s="14" t="s">
        <v>45</v>
      </c>
      <c r="B47" s="14" t="s">
        <v>71</v>
      </c>
      <c r="C47" s="14" t="s">
        <v>46</v>
      </c>
      <c r="D47" s="14" t="n">
        <v>0.25</v>
      </c>
      <c r="E47" s="14" t="n">
        <v>20</v>
      </c>
      <c r="F47" s="15" t="n">
        <v>360.15</v>
      </c>
      <c r="G47" s="15" t="n">
        <v>360.15</v>
      </c>
      <c r="H47" s="15" t="n">
        <v>360.15</v>
      </c>
      <c r="I47" s="15" t="n">
        <v>0</v>
      </c>
      <c r="J47" s="16" t="n">
        <v>10</v>
      </c>
      <c r="K47" s="17" t="n">
        <v>0</v>
      </c>
    </row>
    <row r="48" customFormat="false" ht="15" hidden="false" customHeight="false" outlineLevel="0" collapsed="false">
      <c r="A48" s="10" t="s">
        <v>45</v>
      </c>
      <c r="B48" s="10" t="s">
        <v>71</v>
      </c>
      <c r="C48" s="10" t="s">
        <v>47</v>
      </c>
      <c r="D48" s="10" t="n">
        <v>0.25</v>
      </c>
      <c r="E48" s="10" t="n">
        <v>20</v>
      </c>
      <c r="F48" s="11" t="n">
        <v>355.72</v>
      </c>
      <c r="G48" s="11" t="n">
        <v>355.72</v>
      </c>
      <c r="H48" s="11" t="n">
        <v>355.72</v>
      </c>
      <c r="I48" s="11" t="n">
        <v>0</v>
      </c>
      <c r="J48" s="12" t="n">
        <v>10.001</v>
      </c>
      <c r="K48" s="13" t="n">
        <v>0</v>
      </c>
    </row>
    <row r="49" customFormat="false" ht="15" hidden="false" customHeight="false" outlineLevel="0" collapsed="false">
      <c r="A49" s="14" t="s">
        <v>45</v>
      </c>
      <c r="B49" s="14" t="s">
        <v>71</v>
      </c>
      <c r="C49" s="14" t="s">
        <v>48</v>
      </c>
      <c r="D49" s="14" t="n">
        <v>0.25</v>
      </c>
      <c r="E49" s="14" t="n">
        <v>20</v>
      </c>
      <c r="F49" s="15" t="n">
        <v>355.5</v>
      </c>
      <c r="G49" s="15" t="n">
        <v>355.5</v>
      </c>
      <c r="H49" s="15" t="n">
        <v>355.5</v>
      </c>
      <c r="I49" s="15" t="n">
        <v>0</v>
      </c>
      <c r="J49" s="16" t="n">
        <v>10.001</v>
      </c>
      <c r="K49" s="17" t="n">
        <v>0</v>
      </c>
    </row>
    <row r="50" customFormat="false" ht="15" hidden="false" customHeight="false" outlineLevel="0" collapsed="false">
      <c r="A50" s="10" t="s">
        <v>45</v>
      </c>
      <c r="B50" s="10" t="s">
        <v>71</v>
      </c>
      <c r="C50" s="10" t="s">
        <v>49</v>
      </c>
      <c r="D50" s="10" t="n">
        <v>0.25</v>
      </c>
      <c r="E50" s="10" t="n">
        <v>20</v>
      </c>
      <c r="F50" s="11" t="n">
        <v>354.25</v>
      </c>
      <c r="G50" s="11" t="n">
        <v>354.25</v>
      </c>
      <c r="H50" s="11" t="n">
        <v>354.25</v>
      </c>
      <c r="I50" s="11" t="n">
        <v>0</v>
      </c>
      <c r="J50" s="12" t="n">
        <v>10</v>
      </c>
      <c r="K50" s="13" t="n">
        <v>0</v>
      </c>
    </row>
    <row r="51" customFormat="false" ht="15" hidden="false" customHeight="false" outlineLevel="0" collapsed="false">
      <c r="A51" s="14" t="s">
        <v>45</v>
      </c>
      <c r="B51" s="14" t="s">
        <v>71</v>
      </c>
      <c r="C51" s="14" t="s">
        <v>50</v>
      </c>
      <c r="D51" s="14" t="n">
        <v>0.25</v>
      </c>
      <c r="E51" s="14" t="n">
        <v>20</v>
      </c>
      <c r="F51" s="15" t="n">
        <v>356.06</v>
      </c>
      <c r="G51" s="15" t="n">
        <v>356.06</v>
      </c>
      <c r="H51" s="15" t="n">
        <v>356.06</v>
      </c>
      <c r="I51" s="15" t="n">
        <v>0</v>
      </c>
      <c r="J51" s="16" t="n">
        <v>10.001</v>
      </c>
      <c r="K51" s="17" t="n">
        <v>0</v>
      </c>
    </row>
    <row r="52" customFormat="false" ht="15" hidden="false" customHeight="false" outlineLevel="0" collapsed="false">
      <c r="A52" s="10" t="s">
        <v>45</v>
      </c>
      <c r="B52" s="10" t="s">
        <v>71</v>
      </c>
      <c r="C52" s="10" t="s">
        <v>46</v>
      </c>
      <c r="D52" s="10" t="n">
        <v>0.25</v>
      </c>
      <c r="E52" s="10" t="n">
        <v>25</v>
      </c>
      <c r="F52" s="11" t="n">
        <v>360.15</v>
      </c>
      <c r="G52" s="11" t="n">
        <v>360.15</v>
      </c>
      <c r="H52" s="11" t="n">
        <v>360.15</v>
      </c>
      <c r="I52" s="11" t="n">
        <v>0</v>
      </c>
      <c r="J52" s="12" t="n">
        <v>10.001</v>
      </c>
      <c r="K52" s="13" t="n">
        <v>0.0652</v>
      </c>
    </row>
    <row r="53" customFormat="false" ht="15" hidden="false" customHeight="false" outlineLevel="0" collapsed="false">
      <c r="A53" s="14" t="s">
        <v>45</v>
      </c>
      <c r="B53" s="14" t="s">
        <v>71</v>
      </c>
      <c r="C53" s="14" t="s">
        <v>47</v>
      </c>
      <c r="D53" s="14" t="n">
        <v>0.25</v>
      </c>
      <c r="E53" s="14" t="n">
        <v>25</v>
      </c>
      <c r="F53" s="15" t="n">
        <v>355.72</v>
      </c>
      <c r="G53" s="15" t="n">
        <v>355.72</v>
      </c>
      <c r="H53" s="15" t="n">
        <v>355.72</v>
      </c>
      <c r="I53" s="15" t="n">
        <v>0</v>
      </c>
      <c r="J53" s="16" t="n">
        <v>10.001</v>
      </c>
      <c r="K53" s="17" t="n">
        <v>0.0652</v>
      </c>
    </row>
    <row r="54" customFormat="false" ht="15" hidden="false" customHeight="false" outlineLevel="0" collapsed="false">
      <c r="A54" s="10" t="s">
        <v>45</v>
      </c>
      <c r="B54" s="10" t="s">
        <v>71</v>
      </c>
      <c r="C54" s="10" t="s">
        <v>48</v>
      </c>
      <c r="D54" s="10" t="n">
        <v>0.25</v>
      </c>
      <c r="E54" s="10" t="n">
        <v>25</v>
      </c>
      <c r="F54" s="11" t="n">
        <v>355.5</v>
      </c>
      <c r="G54" s="11" t="n">
        <v>355.5</v>
      </c>
      <c r="H54" s="11" t="n">
        <v>355.5</v>
      </c>
      <c r="I54" s="11" t="n">
        <v>0</v>
      </c>
      <c r="J54" s="12" t="n">
        <v>10.001</v>
      </c>
      <c r="K54" s="13" t="n">
        <v>0.0652</v>
      </c>
    </row>
    <row r="55" customFormat="false" ht="15" hidden="false" customHeight="false" outlineLevel="0" collapsed="false">
      <c r="A55" s="14" t="s">
        <v>45</v>
      </c>
      <c r="B55" s="14" t="s">
        <v>71</v>
      </c>
      <c r="C55" s="14" t="s">
        <v>49</v>
      </c>
      <c r="D55" s="14" t="n">
        <v>0.25</v>
      </c>
      <c r="E55" s="14" t="n">
        <v>25</v>
      </c>
      <c r="F55" s="15" t="n">
        <v>354.25</v>
      </c>
      <c r="G55" s="15" t="n">
        <v>354.25</v>
      </c>
      <c r="H55" s="15" t="n">
        <v>354.25</v>
      </c>
      <c r="I55" s="15" t="n">
        <v>0</v>
      </c>
      <c r="J55" s="16" t="n">
        <v>10.001</v>
      </c>
      <c r="K55" s="17" t="n">
        <v>0.0652</v>
      </c>
    </row>
    <row r="56" customFormat="false" ht="15" hidden="false" customHeight="false" outlineLevel="0" collapsed="false">
      <c r="A56" s="10" t="s">
        <v>45</v>
      </c>
      <c r="B56" s="10" t="s">
        <v>71</v>
      </c>
      <c r="C56" s="10" t="s">
        <v>50</v>
      </c>
      <c r="D56" s="10" t="n">
        <v>0.25</v>
      </c>
      <c r="E56" s="10" t="n">
        <v>25</v>
      </c>
      <c r="F56" s="11" t="n">
        <v>354.9</v>
      </c>
      <c r="G56" s="11" t="n">
        <v>356.06</v>
      </c>
      <c r="H56" s="11" t="n">
        <v>352.59</v>
      </c>
      <c r="I56" s="11" t="n">
        <v>2.0034</v>
      </c>
      <c r="J56" s="12" t="n">
        <v>10.001</v>
      </c>
      <c r="K56" s="13" t="n">
        <v>0.0652</v>
      </c>
    </row>
    <row r="57" customFormat="false" ht="15" hidden="false" customHeight="false" outlineLevel="0" collapsed="false">
      <c r="A57" s="14" t="s">
        <v>45</v>
      </c>
      <c r="B57" s="14" t="s">
        <v>71</v>
      </c>
      <c r="C57" s="14" t="s">
        <v>46</v>
      </c>
      <c r="D57" s="14" t="n">
        <v>0.25</v>
      </c>
      <c r="E57" s="14" t="n">
        <v>30</v>
      </c>
      <c r="F57" s="15" t="n">
        <v>360.15</v>
      </c>
      <c r="G57" s="15" t="n">
        <v>360.15</v>
      </c>
      <c r="H57" s="15" t="n">
        <v>360.15</v>
      </c>
      <c r="I57" s="15" t="n">
        <v>0</v>
      </c>
      <c r="J57" s="16" t="n">
        <v>10</v>
      </c>
      <c r="K57" s="17" t="n">
        <v>0</v>
      </c>
    </row>
    <row r="58" customFormat="false" ht="15" hidden="false" customHeight="false" outlineLevel="0" collapsed="false">
      <c r="A58" s="10" t="s">
        <v>45</v>
      </c>
      <c r="B58" s="10" t="s">
        <v>71</v>
      </c>
      <c r="C58" s="10" t="s">
        <v>47</v>
      </c>
      <c r="D58" s="10" t="n">
        <v>0.25</v>
      </c>
      <c r="E58" s="10" t="n">
        <v>30</v>
      </c>
      <c r="F58" s="11" t="n">
        <v>355.72</v>
      </c>
      <c r="G58" s="11" t="n">
        <v>355.72</v>
      </c>
      <c r="H58" s="11" t="n">
        <v>355.72</v>
      </c>
      <c r="I58" s="11" t="n">
        <v>0</v>
      </c>
      <c r="J58" s="12" t="n">
        <v>10</v>
      </c>
      <c r="K58" s="13" t="n">
        <v>0</v>
      </c>
    </row>
    <row r="59" customFormat="false" ht="15" hidden="false" customHeight="false" outlineLevel="0" collapsed="false">
      <c r="A59" s="14" t="s">
        <v>45</v>
      </c>
      <c r="B59" s="14" t="s">
        <v>71</v>
      </c>
      <c r="C59" s="14" t="s">
        <v>48</v>
      </c>
      <c r="D59" s="14" t="n">
        <v>0.25</v>
      </c>
      <c r="E59" s="14" t="n">
        <v>30</v>
      </c>
      <c r="F59" s="15" t="n">
        <v>355.5</v>
      </c>
      <c r="G59" s="15" t="n">
        <v>355.5</v>
      </c>
      <c r="H59" s="15" t="n">
        <v>355.5</v>
      </c>
      <c r="I59" s="15" t="n">
        <v>0</v>
      </c>
      <c r="J59" s="16" t="n">
        <v>10.001</v>
      </c>
      <c r="K59" s="17" t="n">
        <v>0</v>
      </c>
    </row>
    <row r="60" customFormat="false" ht="15" hidden="false" customHeight="false" outlineLevel="0" collapsed="false">
      <c r="A60" s="10" t="s">
        <v>45</v>
      </c>
      <c r="B60" s="10" t="s">
        <v>71</v>
      </c>
      <c r="C60" s="10" t="s">
        <v>49</v>
      </c>
      <c r="D60" s="10" t="n">
        <v>0.25</v>
      </c>
      <c r="E60" s="10" t="n">
        <v>30</v>
      </c>
      <c r="F60" s="11" t="n">
        <v>354.25</v>
      </c>
      <c r="G60" s="11" t="n">
        <v>354.25</v>
      </c>
      <c r="H60" s="11" t="n">
        <v>354.25</v>
      </c>
      <c r="I60" s="11" t="n">
        <v>0</v>
      </c>
      <c r="J60" s="12" t="n">
        <v>10</v>
      </c>
      <c r="K60" s="13" t="n">
        <v>0</v>
      </c>
    </row>
    <row r="61" customFormat="false" ht="15" hidden="false" customHeight="false" outlineLevel="0" collapsed="false">
      <c r="A61" s="14" t="s">
        <v>45</v>
      </c>
      <c r="B61" s="14" t="s">
        <v>71</v>
      </c>
      <c r="C61" s="14" t="s">
        <v>50</v>
      </c>
      <c r="D61" s="14" t="n">
        <v>0.25</v>
      </c>
      <c r="E61" s="14" t="n">
        <v>30</v>
      </c>
      <c r="F61" s="15" t="n">
        <v>356.06</v>
      </c>
      <c r="G61" s="15" t="n">
        <v>356.06</v>
      </c>
      <c r="H61" s="15" t="n">
        <v>356.06</v>
      </c>
      <c r="I61" s="15" t="n">
        <v>0</v>
      </c>
      <c r="J61" s="16" t="n">
        <v>10.001</v>
      </c>
      <c r="K61" s="17" t="n">
        <v>0</v>
      </c>
    </row>
    <row r="62" customFormat="false" ht="15" hidden="false" customHeight="false" outlineLevel="0" collapsed="false">
      <c r="A62" s="10" t="s">
        <v>52</v>
      </c>
      <c r="B62" s="10" t="s">
        <v>70</v>
      </c>
      <c r="C62" s="10" t="s">
        <v>53</v>
      </c>
      <c r="D62" s="10" t="n">
        <v>0.1</v>
      </c>
      <c r="E62" s="10" t="n">
        <v>15</v>
      </c>
      <c r="F62" s="11" t="n">
        <v>7672.9</v>
      </c>
      <c r="G62" s="11" t="n">
        <v>7720.25</v>
      </c>
      <c r="H62" s="11" t="n">
        <v>7642.02</v>
      </c>
      <c r="I62" s="11" t="n">
        <v>41.6364</v>
      </c>
      <c r="J62" s="12" t="n">
        <v>10.023</v>
      </c>
      <c r="K62" s="13" t="n">
        <v>0.4696</v>
      </c>
    </row>
    <row r="63" customFormat="false" ht="15" hidden="false" customHeight="false" outlineLevel="0" collapsed="false">
      <c r="A63" s="14" t="s">
        <v>52</v>
      </c>
      <c r="B63" s="14" t="s">
        <v>70</v>
      </c>
      <c r="C63" s="14" t="s">
        <v>54</v>
      </c>
      <c r="D63" s="14" t="n">
        <v>0.1</v>
      </c>
      <c r="E63" s="14" t="n">
        <v>15</v>
      </c>
      <c r="F63" s="15" t="n">
        <v>7653.6</v>
      </c>
      <c r="G63" s="15" t="n">
        <v>7696.55</v>
      </c>
      <c r="H63" s="15" t="n">
        <v>7624.14</v>
      </c>
      <c r="I63" s="15" t="n">
        <v>38.0415</v>
      </c>
      <c r="J63" s="16" t="n">
        <v>10.036</v>
      </c>
      <c r="K63" s="17" t="n">
        <v>0.4696</v>
      </c>
    </row>
    <row r="64" customFormat="false" ht="15" hidden="false" customHeight="false" outlineLevel="0" collapsed="false">
      <c r="A64" s="10" t="s">
        <v>52</v>
      </c>
      <c r="B64" s="10" t="s">
        <v>70</v>
      </c>
      <c r="C64" s="10" t="s">
        <v>55</v>
      </c>
      <c r="D64" s="10" t="n">
        <v>0.1</v>
      </c>
      <c r="E64" s="10" t="n">
        <v>15</v>
      </c>
      <c r="F64" s="11" t="n">
        <v>7671.12</v>
      </c>
      <c r="G64" s="11" t="n">
        <v>7700.44</v>
      </c>
      <c r="H64" s="11" t="n">
        <v>7652.25</v>
      </c>
      <c r="I64" s="11" t="n">
        <v>25.7405</v>
      </c>
      <c r="J64" s="12" t="n">
        <v>10.037</v>
      </c>
      <c r="K64" s="13" t="n">
        <v>0.4696</v>
      </c>
    </row>
    <row r="65" customFormat="false" ht="15" hidden="false" customHeight="false" outlineLevel="0" collapsed="false">
      <c r="A65" s="14" t="s">
        <v>52</v>
      </c>
      <c r="B65" s="14" t="s">
        <v>70</v>
      </c>
      <c r="C65" s="14" t="s">
        <v>56</v>
      </c>
      <c r="D65" s="14" t="n">
        <v>0.1</v>
      </c>
      <c r="E65" s="14" t="n">
        <v>15</v>
      </c>
      <c r="F65" s="15" t="n">
        <v>7707.93</v>
      </c>
      <c r="G65" s="15" t="n">
        <v>7725.68</v>
      </c>
      <c r="H65" s="15" t="n">
        <v>7681.79</v>
      </c>
      <c r="I65" s="15" t="n">
        <v>23.1148</v>
      </c>
      <c r="J65" s="16" t="n">
        <v>10.025</v>
      </c>
      <c r="K65" s="17" t="n">
        <v>0.4696</v>
      </c>
    </row>
    <row r="66" customFormat="false" ht="15" hidden="false" customHeight="false" outlineLevel="0" collapsed="false">
      <c r="A66" s="10" t="s">
        <v>52</v>
      </c>
      <c r="B66" s="10" t="s">
        <v>70</v>
      </c>
      <c r="C66" s="10" t="s">
        <v>57</v>
      </c>
      <c r="D66" s="10" t="n">
        <v>0.1</v>
      </c>
      <c r="E66" s="10" t="n">
        <v>15</v>
      </c>
      <c r="F66" s="11" t="n">
        <v>7660.04</v>
      </c>
      <c r="G66" s="11" t="n">
        <v>7710.71</v>
      </c>
      <c r="H66" s="11" t="n">
        <v>7630.49</v>
      </c>
      <c r="I66" s="11" t="n">
        <v>44.0835</v>
      </c>
      <c r="J66" s="12" t="n">
        <v>10.023</v>
      </c>
      <c r="K66" s="13" t="n">
        <v>0.4696</v>
      </c>
    </row>
    <row r="67" customFormat="false" ht="15" hidden="false" customHeight="false" outlineLevel="0" collapsed="false">
      <c r="A67" s="14" t="s">
        <v>52</v>
      </c>
      <c r="B67" s="14" t="s">
        <v>70</v>
      </c>
      <c r="C67" s="14" t="s">
        <v>53</v>
      </c>
      <c r="D67" s="14" t="n">
        <v>0.25</v>
      </c>
      <c r="E67" s="14" t="n">
        <v>15</v>
      </c>
      <c r="F67" s="15" t="n">
        <v>7673.09</v>
      </c>
      <c r="G67" s="15" t="n">
        <v>7692.59</v>
      </c>
      <c r="H67" s="15" t="n">
        <v>7638.66</v>
      </c>
      <c r="I67" s="15" t="n">
        <v>29.9047</v>
      </c>
      <c r="J67" s="16" t="n">
        <v>10.041</v>
      </c>
      <c r="K67" s="17" t="n">
        <v>0.3319</v>
      </c>
    </row>
    <row r="68" customFormat="false" ht="15" hidden="false" customHeight="false" outlineLevel="0" collapsed="false">
      <c r="A68" s="10" t="s">
        <v>52</v>
      </c>
      <c r="B68" s="10" t="s">
        <v>70</v>
      </c>
      <c r="C68" s="10" t="s">
        <v>54</v>
      </c>
      <c r="D68" s="10" t="n">
        <v>0.25</v>
      </c>
      <c r="E68" s="10" t="n">
        <v>15</v>
      </c>
      <c r="F68" s="11" t="n">
        <v>7676.62</v>
      </c>
      <c r="G68" s="11" t="n">
        <v>7710.07</v>
      </c>
      <c r="H68" s="11" t="n">
        <v>7634.55</v>
      </c>
      <c r="I68" s="11" t="n">
        <v>38.4897</v>
      </c>
      <c r="J68" s="12" t="n">
        <v>10.021</v>
      </c>
      <c r="K68" s="13" t="n">
        <v>0.3319</v>
      </c>
    </row>
    <row r="69" customFormat="false" ht="15" hidden="false" customHeight="false" outlineLevel="0" collapsed="false">
      <c r="A69" s="14" t="s">
        <v>52</v>
      </c>
      <c r="B69" s="14" t="s">
        <v>70</v>
      </c>
      <c r="C69" s="14" t="s">
        <v>55</v>
      </c>
      <c r="D69" s="14" t="n">
        <v>0.25</v>
      </c>
      <c r="E69" s="14" t="n">
        <v>15</v>
      </c>
      <c r="F69" s="15" t="n">
        <v>7670.73</v>
      </c>
      <c r="G69" s="15" t="n">
        <v>7692.24</v>
      </c>
      <c r="H69" s="15" t="n">
        <v>7645.36</v>
      </c>
      <c r="I69" s="15" t="n">
        <v>23.678</v>
      </c>
      <c r="J69" s="16" t="n">
        <v>10.022</v>
      </c>
      <c r="K69" s="17" t="n">
        <v>0.3319</v>
      </c>
    </row>
    <row r="70" customFormat="false" ht="15" hidden="false" customHeight="false" outlineLevel="0" collapsed="false">
      <c r="A70" s="10" t="s">
        <v>52</v>
      </c>
      <c r="B70" s="10" t="s">
        <v>70</v>
      </c>
      <c r="C70" s="10" t="s">
        <v>56</v>
      </c>
      <c r="D70" s="10" t="n">
        <v>0.25</v>
      </c>
      <c r="E70" s="10" t="n">
        <v>15</v>
      </c>
      <c r="F70" s="11" t="n">
        <v>7685.75</v>
      </c>
      <c r="G70" s="11" t="n">
        <v>7705.62</v>
      </c>
      <c r="H70" s="11" t="n">
        <v>7658.79</v>
      </c>
      <c r="I70" s="11" t="n">
        <v>24.2052</v>
      </c>
      <c r="J70" s="12" t="n">
        <v>10.031</v>
      </c>
      <c r="K70" s="13" t="n">
        <v>0.3319</v>
      </c>
    </row>
    <row r="71" customFormat="false" ht="15" hidden="false" customHeight="false" outlineLevel="0" collapsed="false">
      <c r="A71" s="14" t="s">
        <v>52</v>
      </c>
      <c r="B71" s="14" t="s">
        <v>70</v>
      </c>
      <c r="C71" s="14" t="s">
        <v>57</v>
      </c>
      <c r="D71" s="14" t="n">
        <v>0.25</v>
      </c>
      <c r="E71" s="14" t="n">
        <v>15</v>
      </c>
      <c r="F71" s="15" t="n">
        <v>7712.72</v>
      </c>
      <c r="G71" s="15" t="n">
        <v>7723.99</v>
      </c>
      <c r="H71" s="15" t="n">
        <v>7692.15</v>
      </c>
      <c r="I71" s="15" t="n">
        <v>17.8414</v>
      </c>
      <c r="J71" s="16" t="n">
        <v>10.047</v>
      </c>
      <c r="K71" s="17" t="n">
        <v>0.3319</v>
      </c>
    </row>
    <row r="72" customFormat="false" ht="15" hidden="false" customHeight="false" outlineLevel="0" collapsed="false">
      <c r="A72" s="10" t="s">
        <v>52</v>
      </c>
      <c r="B72" s="10" t="s">
        <v>70</v>
      </c>
      <c r="C72" s="10" t="s">
        <v>53</v>
      </c>
      <c r="D72" s="10" t="n">
        <v>0.5</v>
      </c>
      <c r="E72" s="10" t="n">
        <v>15</v>
      </c>
      <c r="F72" s="11" t="n">
        <v>7667.18</v>
      </c>
      <c r="G72" s="11" t="n">
        <v>7728.36</v>
      </c>
      <c r="H72" s="11" t="n">
        <v>7632.04</v>
      </c>
      <c r="I72" s="11" t="n">
        <v>53.1784</v>
      </c>
      <c r="J72" s="12" t="n">
        <v>10.032</v>
      </c>
      <c r="K72" s="13" t="n">
        <v>0.5106</v>
      </c>
    </row>
    <row r="73" customFormat="false" ht="15" hidden="false" customHeight="false" outlineLevel="0" collapsed="false">
      <c r="A73" s="14" t="s">
        <v>52</v>
      </c>
      <c r="B73" s="14" t="s">
        <v>70</v>
      </c>
      <c r="C73" s="14" t="s">
        <v>54</v>
      </c>
      <c r="D73" s="14" t="n">
        <v>0.5</v>
      </c>
      <c r="E73" s="14" t="n">
        <v>15</v>
      </c>
      <c r="F73" s="15" t="n">
        <v>7637.77</v>
      </c>
      <c r="G73" s="15" t="n">
        <v>7648.01</v>
      </c>
      <c r="H73" s="15" t="n">
        <v>7618.51</v>
      </c>
      <c r="I73" s="15" t="n">
        <v>16.6881</v>
      </c>
      <c r="J73" s="16" t="n">
        <v>10.029</v>
      </c>
      <c r="K73" s="17" t="n">
        <v>0.5106</v>
      </c>
    </row>
    <row r="74" customFormat="false" ht="15" hidden="false" customHeight="false" outlineLevel="0" collapsed="false">
      <c r="A74" s="10" t="s">
        <v>52</v>
      </c>
      <c r="B74" s="10" t="s">
        <v>70</v>
      </c>
      <c r="C74" s="10" t="s">
        <v>55</v>
      </c>
      <c r="D74" s="10" t="n">
        <v>0.5</v>
      </c>
      <c r="E74" s="10" t="n">
        <v>15</v>
      </c>
      <c r="F74" s="11" t="n">
        <v>7666.24</v>
      </c>
      <c r="G74" s="11" t="n">
        <v>7682.09</v>
      </c>
      <c r="H74" s="11" t="n">
        <v>7658.21</v>
      </c>
      <c r="I74" s="11" t="n">
        <v>13.7269</v>
      </c>
      <c r="J74" s="12" t="n">
        <v>10.034</v>
      </c>
      <c r="K74" s="13" t="n">
        <v>0.5106</v>
      </c>
    </row>
    <row r="75" customFormat="false" ht="15" hidden="false" customHeight="false" outlineLevel="0" collapsed="false">
      <c r="A75" s="14" t="s">
        <v>52</v>
      </c>
      <c r="B75" s="14" t="s">
        <v>70</v>
      </c>
      <c r="C75" s="14" t="s">
        <v>56</v>
      </c>
      <c r="D75" s="14" t="n">
        <v>0.5</v>
      </c>
      <c r="E75" s="14" t="n">
        <v>15</v>
      </c>
      <c r="F75" s="15" t="n">
        <v>7661.38</v>
      </c>
      <c r="G75" s="15" t="n">
        <v>7707.48</v>
      </c>
      <c r="H75" s="15" t="n">
        <v>7619.5</v>
      </c>
      <c r="I75" s="15" t="n">
        <v>44.1415</v>
      </c>
      <c r="J75" s="16" t="n">
        <v>10.035</v>
      </c>
      <c r="K75" s="17" t="n">
        <v>0.5106</v>
      </c>
    </row>
    <row r="76" customFormat="false" ht="15" hidden="false" customHeight="false" outlineLevel="0" collapsed="false">
      <c r="A76" s="10" t="s">
        <v>52</v>
      </c>
      <c r="B76" s="10" t="s">
        <v>70</v>
      </c>
      <c r="C76" s="10" t="s">
        <v>57</v>
      </c>
      <c r="D76" s="10" t="n">
        <v>0.5</v>
      </c>
      <c r="E76" s="10" t="n">
        <v>15</v>
      </c>
      <c r="F76" s="11" t="n">
        <v>7717.66</v>
      </c>
      <c r="G76" s="11" t="n">
        <v>7733.08</v>
      </c>
      <c r="H76" s="11" t="n">
        <v>7696.77</v>
      </c>
      <c r="I76" s="11" t="n">
        <v>18.7629</v>
      </c>
      <c r="J76" s="12" t="n">
        <v>10.022</v>
      </c>
      <c r="K76" s="13" t="n">
        <v>0.5106</v>
      </c>
    </row>
    <row r="77" customFormat="false" ht="15" hidden="false" customHeight="false" outlineLevel="0" collapsed="false">
      <c r="A77" s="14" t="s">
        <v>52</v>
      </c>
      <c r="B77" s="14" t="s">
        <v>70</v>
      </c>
      <c r="C77" s="14" t="s">
        <v>53</v>
      </c>
      <c r="D77" s="14" t="n">
        <v>0.75</v>
      </c>
      <c r="E77" s="14" t="n">
        <v>15</v>
      </c>
      <c r="F77" s="15" t="n">
        <v>7665.19</v>
      </c>
      <c r="G77" s="15" t="n">
        <v>7684.11</v>
      </c>
      <c r="H77" s="15" t="n">
        <v>7648.43</v>
      </c>
      <c r="I77" s="15" t="n">
        <v>17.9372</v>
      </c>
      <c r="J77" s="16" t="n">
        <v>10.026</v>
      </c>
      <c r="K77" s="17" t="n">
        <v>0.2635</v>
      </c>
    </row>
    <row r="78" customFormat="false" ht="15" hidden="false" customHeight="false" outlineLevel="0" collapsed="false">
      <c r="A78" s="10" t="s">
        <v>52</v>
      </c>
      <c r="B78" s="10" t="s">
        <v>70</v>
      </c>
      <c r="C78" s="10" t="s">
        <v>54</v>
      </c>
      <c r="D78" s="10" t="n">
        <v>0.75</v>
      </c>
      <c r="E78" s="10" t="n">
        <v>15</v>
      </c>
      <c r="F78" s="11" t="n">
        <v>7662.49</v>
      </c>
      <c r="G78" s="11" t="n">
        <v>7690.92</v>
      </c>
      <c r="H78" s="11" t="n">
        <v>7646.69</v>
      </c>
      <c r="I78" s="11" t="n">
        <v>24.6695</v>
      </c>
      <c r="J78" s="12" t="n">
        <v>10.039</v>
      </c>
      <c r="K78" s="13" t="n">
        <v>0.2635</v>
      </c>
    </row>
    <row r="79" customFormat="false" ht="15" hidden="false" customHeight="false" outlineLevel="0" collapsed="false">
      <c r="A79" s="14" t="s">
        <v>52</v>
      </c>
      <c r="B79" s="14" t="s">
        <v>70</v>
      </c>
      <c r="C79" s="14" t="s">
        <v>55</v>
      </c>
      <c r="D79" s="14" t="n">
        <v>0.75</v>
      </c>
      <c r="E79" s="14" t="n">
        <v>15</v>
      </c>
      <c r="F79" s="15" t="n">
        <v>7696.68</v>
      </c>
      <c r="G79" s="15" t="n">
        <v>7749.3</v>
      </c>
      <c r="H79" s="15" t="n">
        <v>7665.39</v>
      </c>
      <c r="I79" s="15" t="n">
        <v>45.8416</v>
      </c>
      <c r="J79" s="16" t="n">
        <v>10.023</v>
      </c>
      <c r="K79" s="17" t="n">
        <v>0.2635</v>
      </c>
    </row>
    <row r="80" customFormat="false" ht="15" hidden="false" customHeight="false" outlineLevel="0" collapsed="false">
      <c r="A80" s="10" t="s">
        <v>52</v>
      </c>
      <c r="B80" s="10" t="s">
        <v>70</v>
      </c>
      <c r="C80" s="10" t="s">
        <v>56</v>
      </c>
      <c r="D80" s="10" t="n">
        <v>0.75</v>
      </c>
      <c r="E80" s="10" t="n">
        <v>15</v>
      </c>
      <c r="F80" s="11" t="n">
        <v>7711.12</v>
      </c>
      <c r="G80" s="11" t="n">
        <v>7735.93</v>
      </c>
      <c r="H80" s="11" t="n">
        <v>7690.96</v>
      </c>
      <c r="I80" s="11" t="n">
        <v>22.8418</v>
      </c>
      <c r="J80" s="12" t="n">
        <v>10.029</v>
      </c>
      <c r="K80" s="13" t="n">
        <v>0.2635</v>
      </c>
    </row>
    <row r="81" customFormat="false" ht="15" hidden="false" customHeight="false" outlineLevel="0" collapsed="false">
      <c r="A81" s="14" t="s">
        <v>52</v>
      </c>
      <c r="B81" s="14" t="s">
        <v>70</v>
      </c>
      <c r="C81" s="14" t="s">
        <v>57</v>
      </c>
      <c r="D81" s="14" t="n">
        <v>0.75</v>
      </c>
      <c r="E81" s="14" t="n">
        <v>15</v>
      </c>
      <c r="F81" s="15" t="n">
        <v>7709.78</v>
      </c>
      <c r="G81" s="15" t="n">
        <v>7720.29</v>
      </c>
      <c r="H81" s="15" t="n">
        <v>7701.16</v>
      </c>
      <c r="I81" s="15" t="n">
        <v>9.7031</v>
      </c>
      <c r="J81" s="16" t="n">
        <v>10.029</v>
      </c>
      <c r="K81" s="17" t="n">
        <v>0.2635</v>
      </c>
    </row>
    <row r="82" customFormat="false" ht="15" hidden="false" customHeight="false" outlineLevel="0" collapsed="false">
      <c r="A82" s="10" t="s">
        <v>52</v>
      </c>
      <c r="B82" s="10" t="s">
        <v>70</v>
      </c>
      <c r="C82" s="10" t="s">
        <v>53</v>
      </c>
      <c r="D82" s="10" t="n">
        <v>0.9</v>
      </c>
      <c r="E82" s="10" t="n">
        <v>15</v>
      </c>
      <c r="F82" s="11" t="n">
        <v>7705.35</v>
      </c>
      <c r="G82" s="11" t="n">
        <v>7756.24</v>
      </c>
      <c r="H82" s="11" t="n">
        <v>7649.89</v>
      </c>
      <c r="I82" s="11" t="n">
        <v>53.3217</v>
      </c>
      <c r="J82" s="12" t="n">
        <v>10.026</v>
      </c>
      <c r="K82" s="13" t="n">
        <v>0.1094</v>
      </c>
    </row>
    <row r="83" customFormat="false" ht="15" hidden="false" customHeight="false" outlineLevel="0" collapsed="false">
      <c r="A83" s="14" t="s">
        <v>52</v>
      </c>
      <c r="B83" s="14" t="s">
        <v>70</v>
      </c>
      <c r="C83" s="14" t="s">
        <v>54</v>
      </c>
      <c r="D83" s="14" t="n">
        <v>0.9</v>
      </c>
      <c r="E83" s="14" t="n">
        <v>15</v>
      </c>
      <c r="F83" s="15" t="n">
        <v>7676.13</v>
      </c>
      <c r="G83" s="15" t="n">
        <v>7755.23</v>
      </c>
      <c r="H83" s="15" t="n">
        <v>7610.7</v>
      </c>
      <c r="I83" s="15" t="n">
        <v>73.2292</v>
      </c>
      <c r="J83" s="16" t="n">
        <v>10.036</v>
      </c>
      <c r="K83" s="17" t="n">
        <v>0.1094</v>
      </c>
    </row>
    <row r="84" customFormat="false" ht="15" hidden="false" customHeight="false" outlineLevel="0" collapsed="false">
      <c r="A84" s="10" t="s">
        <v>52</v>
      </c>
      <c r="B84" s="10" t="s">
        <v>70</v>
      </c>
      <c r="C84" s="10" t="s">
        <v>55</v>
      </c>
      <c r="D84" s="10" t="n">
        <v>0.9</v>
      </c>
      <c r="E84" s="10" t="n">
        <v>15</v>
      </c>
      <c r="F84" s="11" t="n">
        <v>7682.63</v>
      </c>
      <c r="G84" s="11" t="n">
        <v>7726.58</v>
      </c>
      <c r="H84" s="11" t="n">
        <v>7638.54</v>
      </c>
      <c r="I84" s="11" t="n">
        <v>44.0202</v>
      </c>
      <c r="J84" s="12" t="n">
        <v>10.029</v>
      </c>
      <c r="K84" s="13" t="n">
        <v>0.1094</v>
      </c>
    </row>
    <row r="85" customFormat="false" ht="15" hidden="false" customHeight="false" outlineLevel="0" collapsed="false">
      <c r="A85" s="14" t="s">
        <v>52</v>
      </c>
      <c r="B85" s="14" t="s">
        <v>70</v>
      </c>
      <c r="C85" s="14" t="s">
        <v>56</v>
      </c>
      <c r="D85" s="14" t="n">
        <v>0.9</v>
      </c>
      <c r="E85" s="14" t="n">
        <v>15</v>
      </c>
      <c r="F85" s="15" t="n">
        <v>7683.52</v>
      </c>
      <c r="G85" s="15" t="n">
        <v>7711.79</v>
      </c>
      <c r="H85" s="15" t="n">
        <v>7642.04</v>
      </c>
      <c r="I85" s="15" t="n">
        <v>36.7035</v>
      </c>
      <c r="J85" s="16" t="n">
        <v>10.022</v>
      </c>
      <c r="K85" s="17" t="n">
        <v>0.1094</v>
      </c>
    </row>
    <row r="86" customFormat="false" ht="15" hidden="false" customHeight="false" outlineLevel="0" collapsed="false">
      <c r="A86" s="10" t="s">
        <v>52</v>
      </c>
      <c r="B86" s="10" t="s">
        <v>70</v>
      </c>
      <c r="C86" s="10" t="s">
        <v>57</v>
      </c>
      <c r="D86" s="10" t="n">
        <v>0.9</v>
      </c>
      <c r="E86" s="10" t="n">
        <v>15</v>
      </c>
      <c r="F86" s="11" t="n">
        <v>7757.29</v>
      </c>
      <c r="G86" s="11" t="n">
        <v>7780.22</v>
      </c>
      <c r="H86" s="11" t="n">
        <v>7725.98</v>
      </c>
      <c r="I86" s="11" t="n">
        <v>28.0757</v>
      </c>
      <c r="J86" s="12" t="n">
        <v>10.028</v>
      </c>
      <c r="K86" s="13" t="n">
        <v>0.1094</v>
      </c>
    </row>
    <row r="87" customFormat="false" ht="15" hidden="false" customHeight="false" outlineLevel="0" collapsed="false">
      <c r="A87" s="14" t="s">
        <v>52</v>
      </c>
      <c r="B87" s="14" t="s">
        <v>70</v>
      </c>
      <c r="C87" s="14" t="s">
        <v>53</v>
      </c>
      <c r="D87" s="14" t="s">
        <v>51</v>
      </c>
      <c r="E87" s="14" t="n">
        <v>15</v>
      </c>
      <c r="F87" s="15" t="n">
        <v>7670.65</v>
      </c>
      <c r="G87" s="15" t="n">
        <v>7710.04</v>
      </c>
      <c r="H87" s="15" t="n">
        <v>7607.59</v>
      </c>
      <c r="I87" s="15" t="n">
        <v>55.1743</v>
      </c>
      <c r="J87" s="16" t="n">
        <v>10.029</v>
      </c>
      <c r="K87" s="17" t="n">
        <v>0.3714</v>
      </c>
    </row>
    <row r="88" customFormat="false" ht="15" hidden="false" customHeight="false" outlineLevel="0" collapsed="false">
      <c r="A88" s="10" t="s">
        <v>52</v>
      </c>
      <c r="B88" s="10" t="s">
        <v>70</v>
      </c>
      <c r="C88" s="10" t="s">
        <v>54</v>
      </c>
      <c r="D88" s="10" t="s">
        <v>51</v>
      </c>
      <c r="E88" s="10" t="n">
        <v>15</v>
      </c>
      <c r="F88" s="11" t="n">
        <v>7653.61</v>
      </c>
      <c r="G88" s="11" t="n">
        <v>7680.73</v>
      </c>
      <c r="H88" s="11" t="n">
        <v>7631.45</v>
      </c>
      <c r="I88" s="11" t="n">
        <v>25.0116</v>
      </c>
      <c r="J88" s="12" t="n">
        <v>10.021</v>
      </c>
      <c r="K88" s="13" t="n">
        <v>0.3714</v>
      </c>
    </row>
    <row r="89" customFormat="false" ht="15" hidden="false" customHeight="false" outlineLevel="0" collapsed="false">
      <c r="A89" s="14" t="s">
        <v>52</v>
      </c>
      <c r="B89" s="14" t="s">
        <v>70</v>
      </c>
      <c r="C89" s="14" t="s">
        <v>55</v>
      </c>
      <c r="D89" s="14" t="s">
        <v>51</v>
      </c>
      <c r="E89" s="14" t="n">
        <v>15</v>
      </c>
      <c r="F89" s="15" t="n">
        <v>7675.48</v>
      </c>
      <c r="G89" s="15" t="n">
        <v>7684.24</v>
      </c>
      <c r="H89" s="15" t="n">
        <v>7663.42</v>
      </c>
      <c r="I89" s="15" t="n">
        <v>10.7952</v>
      </c>
      <c r="J89" s="16" t="n">
        <v>10.039</v>
      </c>
      <c r="K89" s="17" t="n">
        <v>0.3714</v>
      </c>
    </row>
    <row r="90" customFormat="false" ht="15" hidden="false" customHeight="false" outlineLevel="0" collapsed="false">
      <c r="A90" s="10" t="s">
        <v>52</v>
      </c>
      <c r="B90" s="10" t="s">
        <v>70</v>
      </c>
      <c r="C90" s="10" t="s">
        <v>56</v>
      </c>
      <c r="D90" s="10" t="s">
        <v>51</v>
      </c>
      <c r="E90" s="10" t="n">
        <v>15</v>
      </c>
      <c r="F90" s="11" t="n">
        <v>7694.11</v>
      </c>
      <c r="G90" s="11" t="n">
        <v>7728.01</v>
      </c>
      <c r="H90" s="11" t="n">
        <v>7637.94</v>
      </c>
      <c r="I90" s="11" t="n">
        <v>48.9933</v>
      </c>
      <c r="J90" s="12" t="n">
        <v>10.036</v>
      </c>
      <c r="K90" s="13" t="n">
        <v>0.3714</v>
      </c>
    </row>
    <row r="91" customFormat="false" ht="15" hidden="false" customHeight="false" outlineLevel="0" collapsed="false">
      <c r="A91" s="14" t="s">
        <v>52</v>
      </c>
      <c r="B91" s="14" t="s">
        <v>70</v>
      </c>
      <c r="C91" s="14" t="s">
        <v>57</v>
      </c>
      <c r="D91" s="14" t="s">
        <v>51</v>
      </c>
      <c r="E91" s="14" t="n">
        <v>15</v>
      </c>
      <c r="F91" s="15" t="n">
        <v>7709.92</v>
      </c>
      <c r="G91" s="15" t="n">
        <v>7732.33</v>
      </c>
      <c r="H91" s="15" t="n">
        <v>7698.01</v>
      </c>
      <c r="I91" s="15" t="n">
        <v>19.4204</v>
      </c>
      <c r="J91" s="16" t="n">
        <v>10.031</v>
      </c>
      <c r="K91" s="17" t="n">
        <v>0.3714</v>
      </c>
    </row>
    <row r="92" customFormat="false" ht="15" hidden="false" customHeight="false" outlineLevel="0" collapsed="false">
      <c r="A92" s="10" t="s">
        <v>52</v>
      </c>
      <c r="B92" s="10" t="s">
        <v>71</v>
      </c>
      <c r="C92" s="10" t="s">
        <v>53</v>
      </c>
      <c r="D92" s="10" t="n">
        <v>0.9</v>
      </c>
      <c r="E92" s="10" t="n">
        <v>5</v>
      </c>
      <c r="F92" s="11" t="n">
        <v>7709.84</v>
      </c>
      <c r="G92" s="11" t="n">
        <v>7756.24</v>
      </c>
      <c r="H92" s="11" t="n">
        <v>7679.13</v>
      </c>
      <c r="I92" s="11" t="n">
        <v>40.8793</v>
      </c>
      <c r="J92" s="12" t="n">
        <v>10.038</v>
      </c>
      <c r="K92" s="13" t="n">
        <v>0.3623</v>
      </c>
    </row>
    <row r="93" customFormat="false" ht="15" hidden="false" customHeight="false" outlineLevel="0" collapsed="false">
      <c r="A93" s="14" t="s">
        <v>52</v>
      </c>
      <c r="B93" s="14" t="s">
        <v>71</v>
      </c>
      <c r="C93" s="14" t="s">
        <v>54</v>
      </c>
      <c r="D93" s="14" t="n">
        <v>0.9</v>
      </c>
      <c r="E93" s="14" t="n">
        <v>5</v>
      </c>
      <c r="F93" s="15" t="n">
        <v>7650.8</v>
      </c>
      <c r="G93" s="15" t="n">
        <v>7711.42</v>
      </c>
      <c r="H93" s="15" t="n">
        <v>7578.52</v>
      </c>
      <c r="I93" s="15" t="n">
        <v>67.212</v>
      </c>
      <c r="J93" s="16" t="n">
        <v>10.041</v>
      </c>
      <c r="K93" s="17" t="n">
        <v>0.3623</v>
      </c>
    </row>
    <row r="94" customFormat="false" ht="15" hidden="false" customHeight="false" outlineLevel="0" collapsed="false">
      <c r="A94" s="10" t="s">
        <v>52</v>
      </c>
      <c r="B94" s="10" t="s">
        <v>71</v>
      </c>
      <c r="C94" s="10" t="s">
        <v>55</v>
      </c>
      <c r="D94" s="10" t="n">
        <v>0.9</v>
      </c>
      <c r="E94" s="10" t="n">
        <v>5</v>
      </c>
      <c r="F94" s="11" t="n">
        <v>7686.35</v>
      </c>
      <c r="G94" s="11" t="n">
        <v>7726.58</v>
      </c>
      <c r="H94" s="11" t="n">
        <v>7651.19</v>
      </c>
      <c r="I94" s="11" t="n">
        <v>37.9499</v>
      </c>
      <c r="J94" s="12" t="n">
        <v>10.011</v>
      </c>
      <c r="K94" s="13" t="n">
        <v>0.3623</v>
      </c>
    </row>
    <row r="95" customFormat="false" ht="15" hidden="false" customHeight="false" outlineLevel="0" collapsed="false">
      <c r="A95" s="14" t="s">
        <v>52</v>
      </c>
      <c r="B95" s="14" t="s">
        <v>71</v>
      </c>
      <c r="C95" s="14" t="s">
        <v>56</v>
      </c>
      <c r="D95" s="14" t="n">
        <v>0.9</v>
      </c>
      <c r="E95" s="14" t="n">
        <v>5</v>
      </c>
      <c r="F95" s="15" t="n">
        <v>7677.46</v>
      </c>
      <c r="G95" s="15" t="n">
        <v>7732.88</v>
      </c>
      <c r="H95" s="15" t="n">
        <v>7602.78</v>
      </c>
      <c r="I95" s="15" t="n">
        <v>67.1558</v>
      </c>
      <c r="J95" s="16" t="n">
        <v>10.019</v>
      </c>
      <c r="K95" s="17" t="n">
        <v>0.3623</v>
      </c>
    </row>
    <row r="96" customFormat="false" ht="15" hidden="false" customHeight="false" outlineLevel="0" collapsed="false">
      <c r="A96" s="10" t="s">
        <v>52</v>
      </c>
      <c r="B96" s="10" t="s">
        <v>71</v>
      </c>
      <c r="C96" s="10" t="s">
        <v>57</v>
      </c>
      <c r="D96" s="10" t="n">
        <v>0.9</v>
      </c>
      <c r="E96" s="10" t="n">
        <v>5</v>
      </c>
      <c r="F96" s="11" t="n">
        <v>7697.31</v>
      </c>
      <c r="G96" s="11" t="n">
        <v>7740.16</v>
      </c>
      <c r="H96" s="11" t="n">
        <v>7619.12</v>
      </c>
      <c r="I96" s="11" t="n">
        <v>67.8186</v>
      </c>
      <c r="J96" s="12" t="n">
        <v>10.034</v>
      </c>
      <c r="K96" s="13" t="n">
        <v>0.3623</v>
      </c>
    </row>
    <row r="97" customFormat="false" ht="15" hidden="false" customHeight="false" outlineLevel="0" collapsed="false">
      <c r="A97" s="14" t="s">
        <v>52</v>
      </c>
      <c r="B97" s="14" t="s">
        <v>71</v>
      </c>
      <c r="C97" s="14" t="s">
        <v>53</v>
      </c>
      <c r="D97" s="14" t="n">
        <v>0.9</v>
      </c>
      <c r="E97" s="14" t="n">
        <v>10</v>
      </c>
      <c r="F97" s="15" t="n">
        <v>7692.34</v>
      </c>
      <c r="G97" s="15" t="n">
        <v>7756.24</v>
      </c>
      <c r="H97" s="15" t="n">
        <v>7632.42</v>
      </c>
      <c r="I97" s="15" t="n">
        <v>62.0059</v>
      </c>
      <c r="J97" s="16" t="n">
        <v>10.022</v>
      </c>
      <c r="K97" s="17" t="n">
        <v>0.0906</v>
      </c>
    </row>
    <row r="98" customFormat="false" ht="15" hidden="false" customHeight="false" outlineLevel="0" collapsed="false">
      <c r="A98" s="10" t="s">
        <v>52</v>
      </c>
      <c r="B98" s="10" t="s">
        <v>71</v>
      </c>
      <c r="C98" s="10" t="s">
        <v>54</v>
      </c>
      <c r="D98" s="10" t="n">
        <v>0.9</v>
      </c>
      <c r="E98" s="10" t="n">
        <v>10</v>
      </c>
      <c r="F98" s="11" t="n">
        <v>7665.4</v>
      </c>
      <c r="G98" s="11" t="n">
        <v>7755.23</v>
      </c>
      <c r="H98" s="11" t="n">
        <v>7578.52</v>
      </c>
      <c r="I98" s="11" t="n">
        <v>88.3919</v>
      </c>
      <c r="J98" s="12" t="n">
        <v>10.026</v>
      </c>
      <c r="K98" s="13" t="n">
        <v>0.0906</v>
      </c>
    </row>
    <row r="99" customFormat="false" ht="15" hidden="false" customHeight="false" outlineLevel="0" collapsed="false">
      <c r="A99" s="14" t="s">
        <v>52</v>
      </c>
      <c r="B99" s="14" t="s">
        <v>71</v>
      </c>
      <c r="C99" s="14" t="s">
        <v>55</v>
      </c>
      <c r="D99" s="14" t="n">
        <v>0.9</v>
      </c>
      <c r="E99" s="14" t="n">
        <v>10</v>
      </c>
      <c r="F99" s="15" t="n">
        <v>7700.69</v>
      </c>
      <c r="G99" s="15" t="n">
        <v>7726.58</v>
      </c>
      <c r="H99" s="15" t="n">
        <v>7684.76</v>
      </c>
      <c r="I99" s="15" t="n">
        <v>22.617</v>
      </c>
      <c r="J99" s="16" t="n">
        <v>10.023</v>
      </c>
      <c r="K99" s="17" t="n">
        <v>0.0906</v>
      </c>
    </row>
    <row r="100" customFormat="false" ht="15" hidden="false" customHeight="false" outlineLevel="0" collapsed="false">
      <c r="A100" s="10" t="s">
        <v>52</v>
      </c>
      <c r="B100" s="10" t="s">
        <v>71</v>
      </c>
      <c r="C100" s="10" t="s">
        <v>56</v>
      </c>
      <c r="D100" s="10" t="n">
        <v>0.9</v>
      </c>
      <c r="E100" s="10" t="n">
        <v>10</v>
      </c>
      <c r="F100" s="11" t="n">
        <v>7697.42</v>
      </c>
      <c r="G100" s="11" t="n">
        <v>7722.8</v>
      </c>
      <c r="H100" s="11" t="n">
        <v>7672.74</v>
      </c>
      <c r="I100" s="11" t="n">
        <v>25.0372</v>
      </c>
      <c r="J100" s="12" t="n">
        <v>10.034</v>
      </c>
      <c r="K100" s="13" t="n">
        <v>0.0906</v>
      </c>
    </row>
    <row r="101" customFormat="false" ht="15" hidden="false" customHeight="false" outlineLevel="0" collapsed="false">
      <c r="A101" s="14" t="s">
        <v>52</v>
      </c>
      <c r="B101" s="14" t="s">
        <v>71</v>
      </c>
      <c r="C101" s="14" t="s">
        <v>57</v>
      </c>
      <c r="D101" s="14" t="n">
        <v>0.9</v>
      </c>
      <c r="E101" s="14" t="n">
        <v>10</v>
      </c>
      <c r="F101" s="15" t="n">
        <v>7771.1</v>
      </c>
      <c r="G101" s="15" t="n">
        <v>7780.22</v>
      </c>
      <c r="H101" s="15" t="n">
        <v>7764.55</v>
      </c>
      <c r="I101" s="15" t="n">
        <v>8.1434</v>
      </c>
      <c r="J101" s="16" t="n">
        <v>10.024</v>
      </c>
      <c r="K101" s="17" t="n">
        <v>0.0906</v>
      </c>
    </row>
    <row r="102" customFormat="false" ht="15" hidden="false" customHeight="false" outlineLevel="0" collapsed="false">
      <c r="A102" s="10" t="s">
        <v>52</v>
      </c>
      <c r="B102" s="10" t="s">
        <v>71</v>
      </c>
      <c r="C102" s="10" t="s">
        <v>53</v>
      </c>
      <c r="D102" s="10" t="n">
        <v>0.9</v>
      </c>
      <c r="E102" s="10" t="n">
        <v>15</v>
      </c>
      <c r="F102" s="11" t="n">
        <v>7705.35</v>
      </c>
      <c r="G102" s="11" t="n">
        <v>7756.24</v>
      </c>
      <c r="H102" s="11" t="n">
        <v>7649.89</v>
      </c>
      <c r="I102" s="11" t="n">
        <v>53.3217</v>
      </c>
      <c r="J102" s="12" t="n">
        <v>10.02</v>
      </c>
      <c r="K102" s="13" t="n">
        <v>0.1475</v>
      </c>
    </row>
    <row r="103" customFormat="false" ht="15" hidden="false" customHeight="false" outlineLevel="0" collapsed="false">
      <c r="A103" s="14" t="s">
        <v>52</v>
      </c>
      <c r="B103" s="14" t="s">
        <v>71</v>
      </c>
      <c r="C103" s="14" t="s">
        <v>54</v>
      </c>
      <c r="D103" s="14" t="n">
        <v>0.9</v>
      </c>
      <c r="E103" s="14" t="n">
        <v>15</v>
      </c>
      <c r="F103" s="15" t="n">
        <v>7676.13</v>
      </c>
      <c r="G103" s="15" t="n">
        <v>7755.23</v>
      </c>
      <c r="H103" s="15" t="n">
        <v>7610.7</v>
      </c>
      <c r="I103" s="15" t="n">
        <v>73.2292</v>
      </c>
      <c r="J103" s="16" t="n">
        <v>10.039</v>
      </c>
      <c r="K103" s="17" t="n">
        <v>0.1475</v>
      </c>
    </row>
    <row r="104" customFormat="false" ht="15" hidden="false" customHeight="false" outlineLevel="0" collapsed="false">
      <c r="A104" s="10" t="s">
        <v>52</v>
      </c>
      <c r="B104" s="10" t="s">
        <v>71</v>
      </c>
      <c r="C104" s="10" t="s">
        <v>55</v>
      </c>
      <c r="D104" s="10" t="n">
        <v>0.9</v>
      </c>
      <c r="E104" s="10" t="n">
        <v>15</v>
      </c>
      <c r="F104" s="11" t="n">
        <v>7682.63</v>
      </c>
      <c r="G104" s="11" t="n">
        <v>7726.58</v>
      </c>
      <c r="H104" s="11" t="n">
        <v>7638.54</v>
      </c>
      <c r="I104" s="11" t="n">
        <v>44.0202</v>
      </c>
      <c r="J104" s="12" t="n">
        <v>10.028</v>
      </c>
      <c r="K104" s="13" t="n">
        <v>0.1475</v>
      </c>
    </row>
    <row r="105" customFormat="false" ht="15" hidden="false" customHeight="false" outlineLevel="0" collapsed="false">
      <c r="A105" s="14" t="s">
        <v>52</v>
      </c>
      <c r="B105" s="14" t="s">
        <v>71</v>
      </c>
      <c r="C105" s="14" t="s">
        <v>56</v>
      </c>
      <c r="D105" s="14" t="n">
        <v>0.9</v>
      </c>
      <c r="E105" s="14" t="n">
        <v>15</v>
      </c>
      <c r="F105" s="15" t="n">
        <v>7683.52</v>
      </c>
      <c r="G105" s="15" t="n">
        <v>7711.79</v>
      </c>
      <c r="H105" s="15" t="n">
        <v>7642.04</v>
      </c>
      <c r="I105" s="15" t="n">
        <v>36.7035</v>
      </c>
      <c r="J105" s="16" t="n">
        <v>10.037</v>
      </c>
      <c r="K105" s="17" t="n">
        <v>0.1475</v>
      </c>
    </row>
    <row r="106" customFormat="false" ht="15" hidden="false" customHeight="false" outlineLevel="0" collapsed="false">
      <c r="A106" s="10" t="s">
        <v>52</v>
      </c>
      <c r="B106" s="10" t="s">
        <v>71</v>
      </c>
      <c r="C106" s="10" t="s">
        <v>57</v>
      </c>
      <c r="D106" s="10" t="n">
        <v>0.9</v>
      </c>
      <c r="E106" s="10" t="n">
        <v>15</v>
      </c>
      <c r="F106" s="11" t="n">
        <v>7757.29</v>
      </c>
      <c r="G106" s="11" t="n">
        <v>7780.22</v>
      </c>
      <c r="H106" s="11" t="n">
        <v>7725.98</v>
      </c>
      <c r="I106" s="11" t="n">
        <v>28.0757</v>
      </c>
      <c r="J106" s="12" t="n">
        <v>10.029</v>
      </c>
      <c r="K106" s="13" t="n">
        <v>0.1475</v>
      </c>
    </row>
    <row r="107" customFormat="false" ht="15" hidden="false" customHeight="false" outlineLevel="0" collapsed="false">
      <c r="A107" s="14" t="s">
        <v>52</v>
      </c>
      <c r="B107" s="14" t="s">
        <v>71</v>
      </c>
      <c r="C107" s="14" t="s">
        <v>53</v>
      </c>
      <c r="D107" s="14" t="n">
        <v>0.9</v>
      </c>
      <c r="E107" s="14" t="n">
        <v>20</v>
      </c>
      <c r="F107" s="15" t="n">
        <v>7667.46</v>
      </c>
      <c r="G107" s="15" t="n">
        <v>7755.63</v>
      </c>
      <c r="H107" s="15" t="n">
        <v>7618.81</v>
      </c>
      <c r="I107" s="15" t="n">
        <v>76.4912</v>
      </c>
      <c r="J107" s="16" t="n">
        <v>10.022</v>
      </c>
      <c r="K107" s="17" t="n">
        <v>0.1804</v>
      </c>
    </row>
    <row r="108" customFormat="false" ht="15" hidden="false" customHeight="false" outlineLevel="0" collapsed="false">
      <c r="A108" s="10" t="s">
        <v>52</v>
      </c>
      <c r="B108" s="10" t="s">
        <v>71</v>
      </c>
      <c r="C108" s="10" t="s">
        <v>54</v>
      </c>
      <c r="D108" s="10" t="n">
        <v>0.9</v>
      </c>
      <c r="E108" s="10" t="n">
        <v>20</v>
      </c>
      <c r="F108" s="11" t="n">
        <v>7682.78</v>
      </c>
      <c r="G108" s="11" t="n">
        <v>7755.23</v>
      </c>
      <c r="H108" s="11" t="n">
        <v>7630.66</v>
      </c>
      <c r="I108" s="11" t="n">
        <v>64.7256</v>
      </c>
      <c r="J108" s="12" t="n">
        <v>10.021</v>
      </c>
      <c r="K108" s="13" t="n">
        <v>0.1804</v>
      </c>
    </row>
    <row r="109" customFormat="false" ht="15" hidden="false" customHeight="false" outlineLevel="0" collapsed="false">
      <c r="A109" s="14" t="s">
        <v>52</v>
      </c>
      <c r="B109" s="14" t="s">
        <v>71</v>
      </c>
      <c r="C109" s="14" t="s">
        <v>55</v>
      </c>
      <c r="D109" s="14" t="n">
        <v>0.9</v>
      </c>
      <c r="E109" s="14" t="n">
        <v>20</v>
      </c>
      <c r="F109" s="15" t="n">
        <v>7696.07</v>
      </c>
      <c r="G109" s="15" t="n">
        <v>7711.83</v>
      </c>
      <c r="H109" s="15" t="n">
        <v>7665.67</v>
      </c>
      <c r="I109" s="15" t="n">
        <v>26.3331</v>
      </c>
      <c r="J109" s="16" t="n">
        <v>10.022</v>
      </c>
      <c r="K109" s="17" t="n">
        <v>0.1804</v>
      </c>
    </row>
    <row r="110" customFormat="false" ht="15" hidden="false" customHeight="false" outlineLevel="0" collapsed="false">
      <c r="A110" s="10" t="s">
        <v>52</v>
      </c>
      <c r="B110" s="10" t="s">
        <v>71</v>
      </c>
      <c r="C110" s="10" t="s">
        <v>56</v>
      </c>
      <c r="D110" s="10" t="n">
        <v>0.9</v>
      </c>
      <c r="E110" s="10" t="n">
        <v>20</v>
      </c>
      <c r="F110" s="11" t="n">
        <v>7688.98</v>
      </c>
      <c r="G110" s="11" t="n">
        <v>7702.47</v>
      </c>
      <c r="H110" s="11" t="n">
        <v>7667.74</v>
      </c>
      <c r="I110" s="11" t="n">
        <v>18.6169</v>
      </c>
      <c r="J110" s="12" t="n">
        <v>10.03</v>
      </c>
      <c r="K110" s="13" t="n">
        <v>0.1804</v>
      </c>
    </row>
    <row r="111" customFormat="false" ht="15" hidden="false" customHeight="false" outlineLevel="0" collapsed="false">
      <c r="A111" s="14" t="s">
        <v>52</v>
      </c>
      <c r="B111" s="14" t="s">
        <v>71</v>
      </c>
      <c r="C111" s="14" t="s">
        <v>57</v>
      </c>
      <c r="D111" s="14" t="n">
        <v>0.9</v>
      </c>
      <c r="E111" s="14" t="n">
        <v>20</v>
      </c>
      <c r="F111" s="15" t="n">
        <v>7756.92</v>
      </c>
      <c r="G111" s="15" t="n">
        <v>7780.22</v>
      </c>
      <c r="H111" s="15" t="n">
        <v>7725.98</v>
      </c>
      <c r="I111" s="15" t="n">
        <v>27.9141</v>
      </c>
      <c r="J111" s="16" t="n">
        <v>10.046</v>
      </c>
      <c r="K111" s="17" t="n">
        <v>0.1804</v>
      </c>
    </row>
    <row r="112" customFormat="false" ht="15" hidden="false" customHeight="false" outlineLevel="0" collapsed="false">
      <c r="A112" s="10" t="s">
        <v>52</v>
      </c>
      <c r="B112" s="10" t="s">
        <v>71</v>
      </c>
      <c r="C112" s="10" t="s">
        <v>53</v>
      </c>
      <c r="D112" s="10" t="n">
        <v>0.9</v>
      </c>
      <c r="E112" s="10" t="n">
        <v>25</v>
      </c>
      <c r="F112" s="11" t="n">
        <v>7669.16</v>
      </c>
      <c r="G112" s="11" t="n">
        <v>7756.24</v>
      </c>
      <c r="H112" s="11" t="n">
        <v>7618.81</v>
      </c>
      <c r="I112" s="11" t="n">
        <v>75.7228</v>
      </c>
      <c r="J112" s="12" t="n">
        <v>10.039</v>
      </c>
      <c r="K112" s="13" t="n">
        <v>0.2875</v>
      </c>
    </row>
    <row r="113" customFormat="false" ht="15" hidden="false" customHeight="false" outlineLevel="0" collapsed="false">
      <c r="A113" s="14" t="s">
        <v>52</v>
      </c>
      <c r="B113" s="14" t="s">
        <v>71</v>
      </c>
      <c r="C113" s="14" t="s">
        <v>54</v>
      </c>
      <c r="D113" s="14" t="n">
        <v>0.9</v>
      </c>
      <c r="E113" s="14" t="n">
        <v>25</v>
      </c>
      <c r="F113" s="15" t="n">
        <v>7665.57</v>
      </c>
      <c r="G113" s="15" t="n">
        <v>7703.6</v>
      </c>
      <c r="H113" s="15" t="n">
        <v>7630.66</v>
      </c>
      <c r="I113" s="15" t="n">
        <v>36.57</v>
      </c>
      <c r="J113" s="16" t="n">
        <v>10.047</v>
      </c>
      <c r="K113" s="17" t="n">
        <v>0.2875</v>
      </c>
    </row>
    <row r="114" customFormat="false" ht="15" hidden="false" customHeight="false" outlineLevel="0" collapsed="false">
      <c r="A114" s="10" t="s">
        <v>52</v>
      </c>
      <c r="B114" s="10" t="s">
        <v>71</v>
      </c>
      <c r="C114" s="10" t="s">
        <v>55</v>
      </c>
      <c r="D114" s="10" t="n">
        <v>0.9</v>
      </c>
      <c r="E114" s="10" t="n">
        <v>25</v>
      </c>
      <c r="F114" s="11" t="n">
        <v>7674.18</v>
      </c>
      <c r="G114" s="11" t="n">
        <v>7706.18</v>
      </c>
      <c r="H114" s="11" t="n">
        <v>7632.38</v>
      </c>
      <c r="I114" s="11" t="n">
        <v>37.8647</v>
      </c>
      <c r="J114" s="12" t="n">
        <v>10.022</v>
      </c>
      <c r="K114" s="13" t="n">
        <v>0.2875</v>
      </c>
    </row>
    <row r="115" customFormat="false" ht="15" hidden="false" customHeight="false" outlineLevel="0" collapsed="false">
      <c r="A115" s="14" t="s">
        <v>52</v>
      </c>
      <c r="B115" s="14" t="s">
        <v>71</v>
      </c>
      <c r="C115" s="14" t="s">
        <v>56</v>
      </c>
      <c r="D115" s="14" t="n">
        <v>0.9</v>
      </c>
      <c r="E115" s="14" t="n">
        <v>25</v>
      </c>
      <c r="F115" s="15" t="n">
        <v>7685.19</v>
      </c>
      <c r="G115" s="15" t="n">
        <v>7702.47</v>
      </c>
      <c r="H115" s="15" t="n">
        <v>7656.38</v>
      </c>
      <c r="I115" s="15" t="n">
        <v>25.1176</v>
      </c>
      <c r="J115" s="16" t="n">
        <v>10.04</v>
      </c>
      <c r="K115" s="17" t="n">
        <v>0.2875</v>
      </c>
    </row>
    <row r="116" customFormat="false" ht="15" hidden="false" customHeight="false" outlineLevel="0" collapsed="false">
      <c r="A116" s="10" t="s">
        <v>52</v>
      </c>
      <c r="B116" s="10" t="s">
        <v>71</v>
      </c>
      <c r="C116" s="10" t="s">
        <v>57</v>
      </c>
      <c r="D116" s="10" t="n">
        <v>0.9</v>
      </c>
      <c r="E116" s="10" t="n">
        <v>25</v>
      </c>
      <c r="F116" s="11" t="n">
        <v>7756.92</v>
      </c>
      <c r="G116" s="11" t="n">
        <v>7780.22</v>
      </c>
      <c r="H116" s="11" t="n">
        <v>7725.98</v>
      </c>
      <c r="I116" s="11" t="n">
        <v>27.9141</v>
      </c>
      <c r="J116" s="12" t="n">
        <v>10.033</v>
      </c>
      <c r="K116" s="13" t="n">
        <v>0.2875</v>
      </c>
    </row>
    <row r="117" customFormat="false" ht="15" hidden="false" customHeight="false" outlineLevel="0" collapsed="false">
      <c r="A117" s="14" t="s">
        <v>52</v>
      </c>
      <c r="B117" s="14" t="s">
        <v>71</v>
      </c>
      <c r="C117" s="14" t="s">
        <v>53</v>
      </c>
      <c r="D117" s="14" t="n">
        <v>0.9</v>
      </c>
      <c r="E117" s="14" t="n">
        <v>30</v>
      </c>
      <c r="F117" s="15" t="n">
        <v>7669.16</v>
      </c>
      <c r="G117" s="15" t="n">
        <v>7756.24</v>
      </c>
      <c r="H117" s="15" t="n">
        <v>7618.81</v>
      </c>
      <c r="I117" s="15" t="n">
        <v>75.7228</v>
      </c>
      <c r="J117" s="16" t="n">
        <v>10.038</v>
      </c>
      <c r="K117" s="17" t="n">
        <v>0.2803</v>
      </c>
    </row>
    <row r="118" customFormat="false" ht="15" hidden="false" customHeight="false" outlineLevel="0" collapsed="false">
      <c r="A118" s="10" t="s">
        <v>52</v>
      </c>
      <c r="B118" s="10" t="s">
        <v>71</v>
      </c>
      <c r="C118" s="10" t="s">
        <v>54</v>
      </c>
      <c r="D118" s="10" t="n">
        <v>0.9</v>
      </c>
      <c r="E118" s="10" t="n">
        <v>30</v>
      </c>
      <c r="F118" s="11" t="n">
        <v>7668.18</v>
      </c>
      <c r="G118" s="11" t="n">
        <v>7711.42</v>
      </c>
      <c r="H118" s="11" t="n">
        <v>7630.66</v>
      </c>
      <c r="I118" s="11" t="n">
        <v>40.6834</v>
      </c>
      <c r="J118" s="12" t="n">
        <v>10.032</v>
      </c>
      <c r="K118" s="13" t="n">
        <v>0.2803</v>
      </c>
    </row>
    <row r="119" customFormat="false" ht="15" hidden="false" customHeight="false" outlineLevel="0" collapsed="false">
      <c r="A119" s="14" t="s">
        <v>52</v>
      </c>
      <c r="B119" s="14" t="s">
        <v>71</v>
      </c>
      <c r="C119" s="14" t="s">
        <v>55</v>
      </c>
      <c r="D119" s="14" t="n">
        <v>0.9</v>
      </c>
      <c r="E119" s="14" t="n">
        <v>30</v>
      </c>
      <c r="F119" s="15" t="n">
        <v>7675.88</v>
      </c>
      <c r="G119" s="15" t="n">
        <v>7707.9</v>
      </c>
      <c r="H119" s="15" t="n">
        <v>7642.37</v>
      </c>
      <c r="I119" s="15" t="n">
        <v>32.7902</v>
      </c>
      <c r="J119" s="16" t="n">
        <v>10.029</v>
      </c>
      <c r="K119" s="17" t="n">
        <v>0.2803</v>
      </c>
    </row>
    <row r="120" customFormat="false" ht="15" hidden="false" customHeight="false" outlineLevel="0" collapsed="false">
      <c r="A120" s="10" t="s">
        <v>52</v>
      </c>
      <c r="B120" s="10" t="s">
        <v>71</v>
      </c>
      <c r="C120" s="10" t="s">
        <v>56</v>
      </c>
      <c r="D120" s="10" t="n">
        <v>0.9</v>
      </c>
      <c r="E120" s="10" t="n">
        <v>30</v>
      </c>
      <c r="F120" s="11" t="n">
        <v>7683.25</v>
      </c>
      <c r="G120" s="11" t="n">
        <v>7702.9</v>
      </c>
      <c r="H120" s="11" t="n">
        <v>7650.13</v>
      </c>
      <c r="I120" s="11" t="n">
        <v>28.8511</v>
      </c>
      <c r="J120" s="12" t="n">
        <v>10.017</v>
      </c>
      <c r="K120" s="13" t="n">
        <v>0.2803</v>
      </c>
    </row>
    <row r="121" customFormat="false" ht="15" hidden="false" customHeight="false" outlineLevel="0" collapsed="false">
      <c r="A121" s="14" t="s">
        <v>52</v>
      </c>
      <c r="B121" s="14" t="s">
        <v>71</v>
      </c>
      <c r="C121" s="14" t="s">
        <v>57</v>
      </c>
      <c r="D121" s="14" t="n">
        <v>0.9</v>
      </c>
      <c r="E121" s="14" t="n">
        <v>30</v>
      </c>
      <c r="F121" s="15" t="n">
        <v>7757.31</v>
      </c>
      <c r="G121" s="15" t="n">
        <v>7780.22</v>
      </c>
      <c r="H121" s="15" t="n">
        <v>7725.98</v>
      </c>
      <c r="I121" s="15" t="n">
        <v>28.0817</v>
      </c>
      <c r="J121" s="16" t="n">
        <v>10.04</v>
      </c>
      <c r="K121" s="17" t="n">
        <v>0.2803</v>
      </c>
    </row>
    <row r="123" customFormat="false" ht="15" hidden="false" customHeight="true" outlineLevel="0" collapsed="false">
      <c r="A123" s="18" t="s">
        <v>58</v>
      </c>
      <c r="B123" s="18"/>
      <c r="C123" s="18"/>
      <c r="D123" s="18"/>
      <c r="E123" s="18"/>
    </row>
    <row r="124" customFormat="false" ht="15" hidden="false" customHeight="true" outlineLevel="0" collapsed="false">
      <c r="A124" s="22" t="s">
        <v>59</v>
      </c>
      <c r="B124" s="22"/>
      <c r="C124" s="22"/>
      <c r="D124" s="22"/>
      <c r="E124" s="22"/>
      <c r="F124" s="11" t="n">
        <f aca="false">AVERAGE(F2:F121)</f>
        <v>4022.59833333333</v>
      </c>
    </row>
    <row r="125" customFormat="false" ht="15" hidden="false" customHeight="true" outlineLevel="0" collapsed="false">
      <c r="A125" s="22" t="s">
        <v>60</v>
      </c>
      <c r="B125" s="22"/>
      <c r="C125" s="22"/>
      <c r="D125" s="22"/>
      <c r="E125" s="22"/>
      <c r="G125" s="15" t="n">
        <f aca="false">MAX(G2:G121)</f>
        <v>7780.22</v>
      </c>
    </row>
    <row r="126" customFormat="false" ht="15" hidden="false" customHeight="true" outlineLevel="0" collapsed="false">
      <c r="A126" s="22" t="s">
        <v>61</v>
      </c>
      <c r="B126" s="22"/>
      <c r="C126" s="22"/>
      <c r="D126" s="22"/>
      <c r="E126" s="22"/>
      <c r="H126" s="11" t="n">
        <f aca="false">MIN(H2:H121)</f>
        <v>349.53</v>
      </c>
    </row>
    <row r="127" customFormat="false" ht="15" hidden="false" customHeight="true" outlineLevel="0" collapsed="false">
      <c r="A127" s="22" t="s">
        <v>62</v>
      </c>
      <c r="B127" s="22"/>
      <c r="C127" s="22"/>
      <c r="D127" s="22"/>
      <c r="E127" s="22"/>
      <c r="I127" s="15" t="n">
        <f aca="false">AVERAGE(I2:I121)</f>
        <v>19.3813316666667</v>
      </c>
    </row>
    <row r="128" customFormat="false" ht="15" hidden="false" customHeight="true" outlineLevel="0" collapsed="false">
      <c r="A128" s="22" t="s">
        <v>43</v>
      </c>
      <c r="B128" s="22"/>
      <c r="C128" s="22"/>
      <c r="D128" s="22"/>
      <c r="E128" s="22"/>
      <c r="J128" s="12" t="n">
        <f aca="false">AVERAGE(J2:J121)</f>
        <v>10.0153</v>
      </c>
    </row>
    <row r="129" customFormat="false" ht="15" hidden="false" customHeight="true" outlineLevel="0" collapsed="false">
      <c r="A129" s="22" t="s">
        <v>63</v>
      </c>
      <c r="B129" s="22"/>
      <c r="C129" s="22"/>
      <c r="D129" s="22"/>
      <c r="E129" s="22"/>
      <c r="K129" s="17" t="n">
        <f aca="false">AVERAGE(K2:K121)</f>
        <v>0.159854166666667</v>
      </c>
    </row>
  </sheetData>
  <mergeCells count="7">
    <mergeCell ref="A123:E123"/>
    <mergeCell ref="A124:E124"/>
    <mergeCell ref="A125:E125"/>
    <mergeCell ref="A126:E126"/>
    <mergeCell ref="A127:E127"/>
    <mergeCell ref="A128:E128"/>
    <mergeCell ref="A129:E1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23"/>
    <col collapsed="false" customWidth="true" hidden="false" outlineLevel="0" max="4" min="4" style="0" width="11"/>
    <col collapsed="false" customWidth="true" hidden="false" outlineLevel="0" max="5" min="5" style="0" width="17"/>
    <col collapsed="false" customWidth="true" hidden="false" outlineLevel="0" max="6" min="6" style="0" width="5"/>
    <col collapsed="false" customWidth="true" hidden="false" outlineLevel="0" max="8" min="7" style="0" width="9"/>
    <col collapsed="false" customWidth="true" hidden="false" outlineLevel="0" max="9" min="9" style="0" width="12"/>
  </cols>
  <sheetData>
    <row r="1" customFormat="false" ht="30" hidden="false" customHeight="true" outlineLevel="0" collapsed="false">
      <c r="A1" s="9" t="s">
        <v>36</v>
      </c>
      <c r="B1" s="9" t="s">
        <v>68</v>
      </c>
      <c r="C1" s="9" t="s">
        <v>37</v>
      </c>
      <c r="D1" s="9" t="s">
        <v>38</v>
      </c>
      <c r="E1" s="9" t="s">
        <v>69</v>
      </c>
      <c r="F1" s="9" t="s">
        <v>64</v>
      </c>
      <c r="G1" s="9" t="s">
        <v>65</v>
      </c>
      <c r="H1" s="9" t="s">
        <v>66</v>
      </c>
      <c r="I1" s="9" t="s">
        <v>67</v>
      </c>
    </row>
    <row r="2" customFormat="false" ht="15" hidden="false" customHeight="false" outlineLevel="0" collapsed="false">
      <c r="A2" s="10" t="s">
        <v>45</v>
      </c>
      <c r="B2" s="10" t="s">
        <v>70</v>
      </c>
      <c r="C2" s="10" t="s">
        <v>46</v>
      </c>
      <c r="D2" s="10" t="n">
        <v>0.1</v>
      </c>
      <c r="E2" s="10" t="n">
        <v>15</v>
      </c>
      <c r="F2" s="10" t="n">
        <v>0</v>
      </c>
      <c r="G2" s="10" t="n">
        <v>42</v>
      </c>
      <c r="H2" s="11" t="n">
        <v>360.15</v>
      </c>
      <c r="I2" s="12" t="n">
        <v>10</v>
      </c>
    </row>
    <row r="3" customFormat="false" ht="15" hidden="false" customHeight="false" outlineLevel="0" collapsed="false">
      <c r="A3" s="14" t="s">
        <v>45</v>
      </c>
      <c r="B3" s="14" t="s">
        <v>70</v>
      </c>
      <c r="C3" s="14" t="s">
        <v>46</v>
      </c>
      <c r="D3" s="14" t="n">
        <v>0.1</v>
      </c>
      <c r="E3" s="14" t="n">
        <v>15</v>
      </c>
      <c r="F3" s="14" t="n">
        <v>1</v>
      </c>
      <c r="G3" s="14" t="n">
        <v>43</v>
      </c>
      <c r="H3" s="15" t="n">
        <v>360.15</v>
      </c>
      <c r="I3" s="16" t="n">
        <v>10</v>
      </c>
    </row>
    <row r="4" customFormat="false" ht="15" hidden="false" customHeight="false" outlineLevel="0" collapsed="false">
      <c r="A4" s="10" t="s">
        <v>45</v>
      </c>
      <c r="B4" s="10" t="s">
        <v>70</v>
      </c>
      <c r="C4" s="10" t="s">
        <v>46</v>
      </c>
      <c r="D4" s="10" t="n">
        <v>0.1</v>
      </c>
      <c r="E4" s="10" t="n">
        <v>15</v>
      </c>
      <c r="F4" s="10" t="n">
        <v>2</v>
      </c>
      <c r="G4" s="10" t="n">
        <v>44</v>
      </c>
      <c r="H4" s="11" t="n">
        <v>360.15</v>
      </c>
      <c r="I4" s="12" t="n">
        <v>10.001</v>
      </c>
    </row>
    <row r="5" customFormat="false" ht="15" hidden="false" customHeight="false" outlineLevel="0" collapsed="false">
      <c r="A5" s="14" t="s">
        <v>45</v>
      </c>
      <c r="B5" s="14" t="s">
        <v>70</v>
      </c>
      <c r="C5" s="14" t="s">
        <v>47</v>
      </c>
      <c r="D5" s="14" t="n">
        <v>0.1</v>
      </c>
      <c r="E5" s="14" t="n">
        <v>15</v>
      </c>
      <c r="F5" s="14" t="n">
        <v>0</v>
      </c>
      <c r="G5" s="14" t="n">
        <v>42</v>
      </c>
      <c r="H5" s="15" t="n">
        <v>355.72</v>
      </c>
      <c r="I5" s="16" t="n">
        <v>10</v>
      </c>
    </row>
    <row r="6" customFormat="false" ht="15" hidden="false" customHeight="false" outlineLevel="0" collapsed="false">
      <c r="A6" s="10" t="s">
        <v>45</v>
      </c>
      <c r="B6" s="10" t="s">
        <v>70</v>
      </c>
      <c r="C6" s="10" t="s">
        <v>47</v>
      </c>
      <c r="D6" s="10" t="n">
        <v>0.1</v>
      </c>
      <c r="E6" s="10" t="n">
        <v>15</v>
      </c>
      <c r="F6" s="10" t="n">
        <v>1</v>
      </c>
      <c r="G6" s="10" t="n">
        <v>43</v>
      </c>
      <c r="H6" s="11" t="n">
        <v>355.72</v>
      </c>
      <c r="I6" s="12" t="n">
        <v>10</v>
      </c>
    </row>
    <row r="7" customFormat="false" ht="15" hidden="false" customHeight="false" outlineLevel="0" collapsed="false">
      <c r="A7" s="14" t="s">
        <v>45</v>
      </c>
      <c r="B7" s="14" t="s">
        <v>70</v>
      </c>
      <c r="C7" s="14" t="s">
        <v>47</v>
      </c>
      <c r="D7" s="14" t="n">
        <v>0.1</v>
      </c>
      <c r="E7" s="14" t="n">
        <v>15</v>
      </c>
      <c r="F7" s="14" t="n">
        <v>2</v>
      </c>
      <c r="G7" s="14" t="n">
        <v>44</v>
      </c>
      <c r="H7" s="15" t="n">
        <v>355.72</v>
      </c>
      <c r="I7" s="16" t="n">
        <v>10.001</v>
      </c>
    </row>
    <row r="8" customFormat="false" ht="15" hidden="false" customHeight="false" outlineLevel="0" collapsed="false">
      <c r="A8" s="10" t="s">
        <v>45</v>
      </c>
      <c r="B8" s="10" t="s">
        <v>70</v>
      </c>
      <c r="C8" s="10" t="s">
        <v>48</v>
      </c>
      <c r="D8" s="10" t="n">
        <v>0.1</v>
      </c>
      <c r="E8" s="10" t="n">
        <v>15</v>
      </c>
      <c r="F8" s="10" t="n">
        <v>0</v>
      </c>
      <c r="G8" s="10" t="n">
        <v>42</v>
      </c>
      <c r="H8" s="11" t="n">
        <v>355.5</v>
      </c>
      <c r="I8" s="12" t="n">
        <v>10.001</v>
      </c>
    </row>
    <row r="9" customFormat="false" ht="15" hidden="false" customHeight="false" outlineLevel="0" collapsed="false">
      <c r="A9" s="14" t="s">
        <v>45</v>
      </c>
      <c r="B9" s="14" t="s">
        <v>70</v>
      </c>
      <c r="C9" s="14" t="s">
        <v>48</v>
      </c>
      <c r="D9" s="14" t="n">
        <v>0.1</v>
      </c>
      <c r="E9" s="14" t="n">
        <v>15</v>
      </c>
      <c r="F9" s="14" t="n">
        <v>1</v>
      </c>
      <c r="G9" s="14" t="n">
        <v>43</v>
      </c>
      <c r="H9" s="15" t="n">
        <v>355.5</v>
      </c>
      <c r="I9" s="16" t="n">
        <v>10</v>
      </c>
    </row>
    <row r="10" customFormat="false" ht="15" hidden="false" customHeight="false" outlineLevel="0" collapsed="false">
      <c r="A10" s="10" t="s">
        <v>45</v>
      </c>
      <c r="B10" s="10" t="s">
        <v>70</v>
      </c>
      <c r="C10" s="10" t="s">
        <v>48</v>
      </c>
      <c r="D10" s="10" t="n">
        <v>0.1</v>
      </c>
      <c r="E10" s="10" t="n">
        <v>15</v>
      </c>
      <c r="F10" s="10" t="n">
        <v>2</v>
      </c>
      <c r="G10" s="10" t="n">
        <v>44</v>
      </c>
      <c r="H10" s="11" t="n">
        <v>355.5</v>
      </c>
      <c r="I10" s="12" t="n">
        <v>10.001</v>
      </c>
    </row>
    <row r="11" customFormat="false" ht="15" hidden="false" customHeight="false" outlineLevel="0" collapsed="false">
      <c r="A11" s="14" t="s">
        <v>45</v>
      </c>
      <c r="B11" s="14" t="s">
        <v>70</v>
      </c>
      <c r="C11" s="14" t="s">
        <v>49</v>
      </c>
      <c r="D11" s="14" t="n">
        <v>0.1</v>
      </c>
      <c r="E11" s="14" t="n">
        <v>15</v>
      </c>
      <c r="F11" s="14" t="n">
        <v>0</v>
      </c>
      <c r="G11" s="14" t="n">
        <v>42</v>
      </c>
      <c r="H11" s="15" t="n">
        <v>354.25</v>
      </c>
      <c r="I11" s="16" t="n">
        <v>10.001</v>
      </c>
    </row>
    <row r="12" customFormat="false" ht="15" hidden="false" customHeight="false" outlineLevel="0" collapsed="false">
      <c r="A12" s="10" t="s">
        <v>45</v>
      </c>
      <c r="B12" s="10" t="s">
        <v>70</v>
      </c>
      <c r="C12" s="10" t="s">
        <v>49</v>
      </c>
      <c r="D12" s="10" t="n">
        <v>0.1</v>
      </c>
      <c r="E12" s="10" t="n">
        <v>15</v>
      </c>
      <c r="F12" s="10" t="n">
        <v>1</v>
      </c>
      <c r="G12" s="10" t="n">
        <v>43</v>
      </c>
      <c r="H12" s="11" t="n">
        <v>354.25</v>
      </c>
      <c r="I12" s="12" t="n">
        <v>10.001</v>
      </c>
    </row>
    <row r="13" customFormat="false" ht="15" hidden="false" customHeight="false" outlineLevel="0" collapsed="false">
      <c r="A13" s="14" t="s">
        <v>45</v>
      </c>
      <c r="B13" s="14" t="s">
        <v>70</v>
      </c>
      <c r="C13" s="14" t="s">
        <v>49</v>
      </c>
      <c r="D13" s="14" t="n">
        <v>0.1</v>
      </c>
      <c r="E13" s="14" t="n">
        <v>15</v>
      </c>
      <c r="F13" s="14" t="n">
        <v>2</v>
      </c>
      <c r="G13" s="14" t="n">
        <v>44</v>
      </c>
      <c r="H13" s="15" t="n">
        <v>354.25</v>
      </c>
      <c r="I13" s="16" t="n">
        <v>10</v>
      </c>
    </row>
    <row r="14" customFormat="false" ht="15" hidden="false" customHeight="false" outlineLevel="0" collapsed="false">
      <c r="A14" s="10" t="s">
        <v>45</v>
      </c>
      <c r="B14" s="10" t="s">
        <v>70</v>
      </c>
      <c r="C14" s="10" t="s">
        <v>50</v>
      </c>
      <c r="D14" s="10" t="n">
        <v>0.1</v>
      </c>
      <c r="E14" s="10" t="n">
        <v>15</v>
      </c>
      <c r="F14" s="10" t="n">
        <v>0</v>
      </c>
      <c r="G14" s="10" t="n">
        <v>42</v>
      </c>
      <c r="H14" s="11" t="n">
        <v>356.06</v>
      </c>
      <c r="I14" s="12" t="n">
        <v>10.001</v>
      </c>
    </row>
    <row r="15" customFormat="false" ht="15" hidden="false" customHeight="false" outlineLevel="0" collapsed="false">
      <c r="A15" s="14" t="s">
        <v>45</v>
      </c>
      <c r="B15" s="14" t="s">
        <v>70</v>
      </c>
      <c r="C15" s="14" t="s">
        <v>50</v>
      </c>
      <c r="D15" s="14" t="n">
        <v>0.1</v>
      </c>
      <c r="E15" s="14" t="n">
        <v>15</v>
      </c>
      <c r="F15" s="14" t="n">
        <v>1</v>
      </c>
      <c r="G15" s="14" t="n">
        <v>43</v>
      </c>
      <c r="H15" s="15" t="n">
        <v>356.06</v>
      </c>
      <c r="I15" s="16" t="n">
        <v>10.001</v>
      </c>
    </row>
    <row r="16" customFormat="false" ht="15" hidden="false" customHeight="false" outlineLevel="0" collapsed="false">
      <c r="A16" s="10" t="s">
        <v>45</v>
      </c>
      <c r="B16" s="10" t="s">
        <v>70</v>
      </c>
      <c r="C16" s="10" t="s">
        <v>50</v>
      </c>
      <c r="D16" s="10" t="n">
        <v>0.1</v>
      </c>
      <c r="E16" s="10" t="n">
        <v>15</v>
      </c>
      <c r="F16" s="10" t="n">
        <v>2</v>
      </c>
      <c r="G16" s="10" t="n">
        <v>44</v>
      </c>
      <c r="H16" s="11" t="n">
        <v>356.06</v>
      </c>
      <c r="I16" s="12" t="n">
        <v>10</v>
      </c>
    </row>
    <row r="17" customFormat="false" ht="15" hidden="false" customHeight="false" outlineLevel="0" collapsed="false">
      <c r="A17" s="14" t="s">
        <v>45</v>
      </c>
      <c r="B17" s="14" t="s">
        <v>70</v>
      </c>
      <c r="C17" s="14" t="s">
        <v>46</v>
      </c>
      <c r="D17" s="14" t="n">
        <v>0.25</v>
      </c>
      <c r="E17" s="14" t="n">
        <v>15</v>
      </c>
      <c r="F17" s="14" t="n">
        <v>0</v>
      </c>
      <c r="G17" s="14" t="n">
        <v>42</v>
      </c>
      <c r="H17" s="15" t="n">
        <v>360.15</v>
      </c>
      <c r="I17" s="16" t="n">
        <v>10.001</v>
      </c>
    </row>
    <row r="18" customFormat="false" ht="15" hidden="false" customHeight="false" outlineLevel="0" collapsed="false">
      <c r="A18" s="10" t="s">
        <v>45</v>
      </c>
      <c r="B18" s="10" t="s">
        <v>70</v>
      </c>
      <c r="C18" s="10" t="s">
        <v>46</v>
      </c>
      <c r="D18" s="10" t="n">
        <v>0.25</v>
      </c>
      <c r="E18" s="10" t="n">
        <v>15</v>
      </c>
      <c r="F18" s="10" t="n">
        <v>1</v>
      </c>
      <c r="G18" s="10" t="n">
        <v>43</v>
      </c>
      <c r="H18" s="11" t="n">
        <v>360.15</v>
      </c>
      <c r="I18" s="12" t="n">
        <v>10</v>
      </c>
    </row>
    <row r="19" customFormat="false" ht="15" hidden="false" customHeight="false" outlineLevel="0" collapsed="false">
      <c r="A19" s="14" t="s">
        <v>45</v>
      </c>
      <c r="B19" s="14" t="s">
        <v>70</v>
      </c>
      <c r="C19" s="14" t="s">
        <v>46</v>
      </c>
      <c r="D19" s="14" t="n">
        <v>0.25</v>
      </c>
      <c r="E19" s="14" t="n">
        <v>15</v>
      </c>
      <c r="F19" s="14" t="n">
        <v>2</v>
      </c>
      <c r="G19" s="14" t="n">
        <v>44</v>
      </c>
      <c r="H19" s="15" t="n">
        <v>360.15</v>
      </c>
      <c r="I19" s="16" t="n">
        <v>10</v>
      </c>
    </row>
    <row r="20" customFormat="false" ht="15" hidden="false" customHeight="false" outlineLevel="0" collapsed="false">
      <c r="A20" s="10" t="s">
        <v>45</v>
      </c>
      <c r="B20" s="10" t="s">
        <v>70</v>
      </c>
      <c r="C20" s="10" t="s">
        <v>47</v>
      </c>
      <c r="D20" s="10" t="n">
        <v>0.25</v>
      </c>
      <c r="E20" s="10" t="n">
        <v>15</v>
      </c>
      <c r="F20" s="10" t="n">
        <v>0</v>
      </c>
      <c r="G20" s="10" t="n">
        <v>42</v>
      </c>
      <c r="H20" s="11" t="n">
        <v>355.72</v>
      </c>
      <c r="I20" s="12" t="n">
        <v>10.001</v>
      </c>
    </row>
    <row r="21" customFormat="false" ht="15" hidden="false" customHeight="false" outlineLevel="0" collapsed="false">
      <c r="A21" s="14" t="s">
        <v>45</v>
      </c>
      <c r="B21" s="14" t="s">
        <v>70</v>
      </c>
      <c r="C21" s="14" t="s">
        <v>47</v>
      </c>
      <c r="D21" s="14" t="n">
        <v>0.25</v>
      </c>
      <c r="E21" s="14" t="n">
        <v>15</v>
      </c>
      <c r="F21" s="14" t="n">
        <v>1</v>
      </c>
      <c r="G21" s="14" t="n">
        <v>43</v>
      </c>
      <c r="H21" s="15" t="n">
        <v>355.72</v>
      </c>
      <c r="I21" s="16" t="n">
        <v>10</v>
      </c>
    </row>
    <row r="22" customFormat="false" ht="15" hidden="false" customHeight="false" outlineLevel="0" collapsed="false">
      <c r="A22" s="10" t="s">
        <v>45</v>
      </c>
      <c r="B22" s="10" t="s">
        <v>70</v>
      </c>
      <c r="C22" s="10" t="s">
        <v>47</v>
      </c>
      <c r="D22" s="10" t="n">
        <v>0.25</v>
      </c>
      <c r="E22" s="10" t="n">
        <v>15</v>
      </c>
      <c r="F22" s="10" t="n">
        <v>2</v>
      </c>
      <c r="G22" s="10" t="n">
        <v>44</v>
      </c>
      <c r="H22" s="11" t="n">
        <v>355.72</v>
      </c>
      <c r="I22" s="12" t="n">
        <v>10.001</v>
      </c>
    </row>
    <row r="23" customFormat="false" ht="15" hidden="false" customHeight="false" outlineLevel="0" collapsed="false">
      <c r="A23" s="14" t="s">
        <v>45</v>
      </c>
      <c r="B23" s="14" t="s">
        <v>70</v>
      </c>
      <c r="C23" s="14" t="s">
        <v>48</v>
      </c>
      <c r="D23" s="14" t="n">
        <v>0.25</v>
      </c>
      <c r="E23" s="14" t="n">
        <v>15</v>
      </c>
      <c r="F23" s="14" t="n">
        <v>0</v>
      </c>
      <c r="G23" s="14" t="n">
        <v>42</v>
      </c>
      <c r="H23" s="15" t="n">
        <v>355.5</v>
      </c>
      <c r="I23" s="16" t="n">
        <v>10</v>
      </c>
    </row>
    <row r="24" customFormat="false" ht="15" hidden="false" customHeight="false" outlineLevel="0" collapsed="false">
      <c r="A24" s="10" t="s">
        <v>45</v>
      </c>
      <c r="B24" s="10" t="s">
        <v>70</v>
      </c>
      <c r="C24" s="10" t="s">
        <v>48</v>
      </c>
      <c r="D24" s="10" t="n">
        <v>0.25</v>
      </c>
      <c r="E24" s="10" t="n">
        <v>15</v>
      </c>
      <c r="F24" s="10" t="n">
        <v>1</v>
      </c>
      <c r="G24" s="10" t="n">
        <v>43</v>
      </c>
      <c r="H24" s="11" t="n">
        <v>355.5</v>
      </c>
      <c r="I24" s="12" t="n">
        <v>10.001</v>
      </c>
    </row>
    <row r="25" customFormat="false" ht="15" hidden="false" customHeight="false" outlineLevel="0" collapsed="false">
      <c r="A25" s="14" t="s">
        <v>45</v>
      </c>
      <c r="B25" s="14" t="s">
        <v>70</v>
      </c>
      <c r="C25" s="14" t="s">
        <v>48</v>
      </c>
      <c r="D25" s="14" t="n">
        <v>0.25</v>
      </c>
      <c r="E25" s="14" t="n">
        <v>15</v>
      </c>
      <c r="F25" s="14" t="n">
        <v>2</v>
      </c>
      <c r="G25" s="14" t="n">
        <v>44</v>
      </c>
      <c r="H25" s="15" t="n">
        <v>355.5</v>
      </c>
      <c r="I25" s="16" t="n">
        <v>10</v>
      </c>
    </row>
    <row r="26" customFormat="false" ht="15" hidden="false" customHeight="false" outlineLevel="0" collapsed="false">
      <c r="A26" s="10" t="s">
        <v>45</v>
      </c>
      <c r="B26" s="10" t="s">
        <v>70</v>
      </c>
      <c r="C26" s="10" t="s">
        <v>49</v>
      </c>
      <c r="D26" s="10" t="n">
        <v>0.25</v>
      </c>
      <c r="E26" s="10" t="n">
        <v>15</v>
      </c>
      <c r="F26" s="10" t="n">
        <v>0</v>
      </c>
      <c r="G26" s="10" t="n">
        <v>42</v>
      </c>
      <c r="H26" s="11" t="n">
        <v>354.25</v>
      </c>
      <c r="I26" s="12" t="n">
        <v>10</v>
      </c>
    </row>
    <row r="27" customFormat="false" ht="15" hidden="false" customHeight="false" outlineLevel="0" collapsed="false">
      <c r="A27" s="14" t="s">
        <v>45</v>
      </c>
      <c r="B27" s="14" t="s">
        <v>70</v>
      </c>
      <c r="C27" s="14" t="s">
        <v>49</v>
      </c>
      <c r="D27" s="14" t="n">
        <v>0.25</v>
      </c>
      <c r="E27" s="14" t="n">
        <v>15</v>
      </c>
      <c r="F27" s="14" t="n">
        <v>1</v>
      </c>
      <c r="G27" s="14" t="n">
        <v>43</v>
      </c>
      <c r="H27" s="15" t="n">
        <v>354.25</v>
      </c>
      <c r="I27" s="16" t="n">
        <v>10</v>
      </c>
    </row>
    <row r="28" customFormat="false" ht="15" hidden="false" customHeight="false" outlineLevel="0" collapsed="false">
      <c r="A28" s="10" t="s">
        <v>45</v>
      </c>
      <c r="B28" s="10" t="s">
        <v>70</v>
      </c>
      <c r="C28" s="10" t="s">
        <v>49</v>
      </c>
      <c r="D28" s="10" t="n">
        <v>0.25</v>
      </c>
      <c r="E28" s="10" t="n">
        <v>15</v>
      </c>
      <c r="F28" s="10" t="n">
        <v>2</v>
      </c>
      <c r="G28" s="10" t="n">
        <v>44</v>
      </c>
      <c r="H28" s="11" t="n">
        <v>354.25</v>
      </c>
      <c r="I28" s="12" t="n">
        <v>10</v>
      </c>
    </row>
    <row r="29" customFormat="false" ht="15" hidden="false" customHeight="false" outlineLevel="0" collapsed="false">
      <c r="A29" s="14" t="s">
        <v>45</v>
      </c>
      <c r="B29" s="14" t="s">
        <v>70</v>
      </c>
      <c r="C29" s="14" t="s">
        <v>50</v>
      </c>
      <c r="D29" s="14" t="n">
        <v>0.25</v>
      </c>
      <c r="E29" s="14" t="n">
        <v>15</v>
      </c>
      <c r="F29" s="14" t="n">
        <v>0</v>
      </c>
      <c r="G29" s="14" t="n">
        <v>42</v>
      </c>
      <c r="H29" s="15" t="n">
        <v>356.06</v>
      </c>
      <c r="I29" s="16" t="n">
        <v>10.001</v>
      </c>
    </row>
    <row r="30" customFormat="false" ht="15" hidden="false" customHeight="false" outlineLevel="0" collapsed="false">
      <c r="A30" s="10" t="s">
        <v>45</v>
      </c>
      <c r="B30" s="10" t="s">
        <v>70</v>
      </c>
      <c r="C30" s="10" t="s">
        <v>50</v>
      </c>
      <c r="D30" s="10" t="n">
        <v>0.25</v>
      </c>
      <c r="E30" s="10" t="n">
        <v>15</v>
      </c>
      <c r="F30" s="10" t="n">
        <v>1</v>
      </c>
      <c r="G30" s="10" t="n">
        <v>43</v>
      </c>
      <c r="H30" s="11" t="n">
        <v>356.06</v>
      </c>
      <c r="I30" s="12" t="n">
        <v>10</v>
      </c>
    </row>
    <row r="31" customFormat="false" ht="15" hidden="false" customHeight="false" outlineLevel="0" collapsed="false">
      <c r="A31" s="14" t="s">
        <v>45</v>
      </c>
      <c r="B31" s="14" t="s">
        <v>70</v>
      </c>
      <c r="C31" s="14" t="s">
        <v>50</v>
      </c>
      <c r="D31" s="14" t="n">
        <v>0.25</v>
      </c>
      <c r="E31" s="14" t="n">
        <v>15</v>
      </c>
      <c r="F31" s="14" t="n">
        <v>2</v>
      </c>
      <c r="G31" s="14" t="n">
        <v>44</v>
      </c>
      <c r="H31" s="15" t="n">
        <v>356.06</v>
      </c>
      <c r="I31" s="16" t="n">
        <v>10.001</v>
      </c>
    </row>
    <row r="32" customFormat="false" ht="15" hidden="false" customHeight="false" outlineLevel="0" collapsed="false">
      <c r="A32" s="10" t="s">
        <v>45</v>
      </c>
      <c r="B32" s="10" t="s">
        <v>70</v>
      </c>
      <c r="C32" s="10" t="s">
        <v>46</v>
      </c>
      <c r="D32" s="10" t="n">
        <v>0.5</v>
      </c>
      <c r="E32" s="10" t="n">
        <v>15</v>
      </c>
      <c r="F32" s="10" t="n">
        <v>0</v>
      </c>
      <c r="G32" s="10" t="n">
        <v>42</v>
      </c>
      <c r="H32" s="11" t="n">
        <v>360.15</v>
      </c>
      <c r="I32" s="12" t="n">
        <v>10</v>
      </c>
    </row>
    <row r="33" customFormat="false" ht="15" hidden="false" customHeight="false" outlineLevel="0" collapsed="false">
      <c r="A33" s="14" t="s">
        <v>45</v>
      </c>
      <c r="B33" s="14" t="s">
        <v>70</v>
      </c>
      <c r="C33" s="14" t="s">
        <v>46</v>
      </c>
      <c r="D33" s="14" t="n">
        <v>0.5</v>
      </c>
      <c r="E33" s="14" t="n">
        <v>15</v>
      </c>
      <c r="F33" s="14" t="n">
        <v>1</v>
      </c>
      <c r="G33" s="14" t="n">
        <v>43</v>
      </c>
      <c r="H33" s="15" t="n">
        <v>360.15</v>
      </c>
      <c r="I33" s="16" t="n">
        <v>10.001</v>
      </c>
    </row>
    <row r="34" customFormat="false" ht="15" hidden="false" customHeight="false" outlineLevel="0" collapsed="false">
      <c r="A34" s="10" t="s">
        <v>45</v>
      </c>
      <c r="B34" s="10" t="s">
        <v>70</v>
      </c>
      <c r="C34" s="10" t="s">
        <v>46</v>
      </c>
      <c r="D34" s="10" t="n">
        <v>0.5</v>
      </c>
      <c r="E34" s="10" t="n">
        <v>15</v>
      </c>
      <c r="F34" s="10" t="n">
        <v>2</v>
      </c>
      <c r="G34" s="10" t="n">
        <v>44</v>
      </c>
      <c r="H34" s="11" t="n">
        <v>360.15</v>
      </c>
      <c r="I34" s="12" t="n">
        <v>10</v>
      </c>
    </row>
    <row r="35" customFormat="false" ht="15" hidden="false" customHeight="false" outlineLevel="0" collapsed="false">
      <c r="A35" s="14" t="s">
        <v>45</v>
      </c>
      <c r="B35" s="14" t="s">
        <v>70</v>
      </c>
      <c r="C35" s="14" t="s">
        <v>47</v>
      </c>
      <c r="D35" s="14" t="n">
        <v>0.5</v>
      </c>
      <c r="E35" s="14" t="n">
        <v>15</v>
      </c>
      <c r="F35" s="14" t="n">
        <v>0</v>
      </c>
      <c r="G35" s="14" t="n">
        <v>42</v>
      </c>
      <c r="H35" s="15" t="n">
        <v>355.72</v>
      </c>
      <c r="I35" s="16" t="n">
        <v>10.001</v>
      </c>
    </row>
    <row r="36" customFormat="false" ht="15" hidden="false" customHeight="false" outlineLevel="0" collapsed="false">
      <c r="A36" s="10" t="s">
        <v>45</v>
      </c>
      <c r="B36" s="10" t="s">
        <v>70</v>
      </c>
      <c r="C36" s="10" t="s">
        <v>47</v>
      </c>
      <c r="D36" s="10" t="n">
        <v>0.5</v>
      </c>
      <c r="E36" s="10" t="n">
        <v>15</v>
      </c>
      <c r="F36" s="10" t="n">
        <v>1</v>
      </c>
      <c r="G36" s="10" t="n">
        <v>43</v>
      </c>
      <c r="H36" s="11" t="n">
        <v>355.72</v>
      </c>
      <c r="I36" s="12" t="n">
        <v>10</v>
      </c>
    </row>
    <row r="37" customFormat="false" ht="15" hidden="false" customHeight="false" outlineLevel="0" collapsed="false">
      <c r="A37" s="14" t="s">
        <v>45</v>
      </c>
      <c r="B37" s="14" t="s">
        <v>70</v>
      </c>
      <c r="C37" s="14" t="s">
        <v>47</v>
      </c>
      <c r="D37" s="14" t="n">
        <v>0.5</v>
      </c>
      <c r="E37" s="14" t="n">
        <v>15</v>
      </c>
      <c r="F37" s="14" t="n">
        <v>2</v>
      </c>
      <c r="G37" s="14" t="n">
        <v>44</v>
      </c>
      <c r="H37" s="15" t="n">
        <v>355.72</v>
      </c>
      <c r="I37" s="16" t="n">
        <v>10.001</v>
      </c>
    </row>
    <row r="38" customFormat="false" ht="15" hidden="false" customHeight="false" outlineLevel="0" collapsed="false">
      <c r="A38" s="10" t="s">
        <v>45</v>
      </c>
      <c r="B38" s="10" t="s">
        <v>70</v>
      </c>
      <c r="C38" s="10" t="s">
        <v>48</v>
      </c>
      <c r="D38" s="10" t="n">
        <v>0.5</v>
      </c>
      <c r="E38" s="10" t="n">
        <v>15</v>
      </c>
      <c r="F38" s="10" t="n">
        <v>0</v>
      </c>
      <c r="G38" s="10" t="n">
        <v>42</v>
      </c>
      <c r="H38" s="11" t="n">
        <v>355.5</v>
      </c>
      <c r="I38" s="12" t="n">
        <v>10</v>
      </c>
    </row>
    <row r="39" customFormat="false" ht="15" hidden="false" customHeight="false" outlineLevel="0" collapsed="false">
      <c r="A39" s="14" t="s">
        <v>45</v>
      </c>
      <c r="B39" s="14" t="s">
        <v>70</v>
      </c>
      <c r="C39" s="14" t="s">
        <v>48</v>
      </c>
      <c r="D39" s="14" t="n">
        <v>0.5</v>
      </c>
      <c r="E39" s="14" t="n">
        <v>15</v>
      </c>
      <c r="F39" s="14" t="n">
        <v>1</v>
      </c>
      <c r="G39" s="14" t="n">
        <v>43</v>
      </c>
      <c r="H39" s="15" t="n">
        <v>355.5</v>
      </c>
      <c r="I39" s="16" t="n">
        <v>10.001</v>
      </c>
    </row>
    <row r="40" customFormat="false" ht="15" hidden="false" customHeight="false" outlineLevel="0" collapsed="false">
      <c r="A40" s="10" t="s">
        <v>45</v>
      </c>
      <c r="B40" s="10" t="s">
        <v>70</v>
      </c>
      <c r="C40" s="10" t="s">
        <v>48</v>
      </c>
      <c r="D40" s="10" t="n">
        <v>0.5</v>
      </c>
      <c r="E40" s="10" t="n">
        <v>15</v>
      </c>
      <c r="F40" s="10" t="n">
        <v>2</v>
      </c>
      <c r="G40" s="10" t="n">
        <v>44</v>
      </c>
      <c r="H40" s="11" t="n">
        <v>355.5</v>
      </c>
      <c r="I40" s="12" t="n">
        <v>10</v>
      </c>
    </row>
    <row r="41" customFormat="false" ht="15" hidden="false" customHeight="false" outlineLevel="0" collapsed="false">
      <c r="A41" s="14" t="s">
        <v>45</v>
      </c>
      <c r="B41" s="14" t="s">
        <v>70</v>
      </c>
      <c r="C41" s="14" t="s">
        <v>49</v>
      </c>
      <c r="D41" s="14" t="n">
        <v>0.5</v>
      </c>
      <c r="E41" s="14" t="n">
        <v>15</v>
      </c>
      <c r="F41" s="14" t="n">
        <v>0</v>
      </c>
      <c r="G41" s="14" t="n">
        <v>42</v>
      </c>
      <c r="H41" s="15" t="n">
        <v>354.25</v>
      </c>
      <c r="I41" s="16" t="n">
        <v>10</v>
      </c>
    </row>
    <row r="42" customFormat="false" ht="15" hidden="false" customHeight="false" outlineLevel="0" collapsed="false">
      <c r="A42" s="10" t="s">
        <v>45</v>
      </c>
      <c r="B42" s="10" t="s">
        <v>70</v>
      </c>
      <c r="C42" s="10" t="s">
        <v>49</v>
      </c>
      <c r="D42" s="10" t="n">
        <v>0.5</v>
      </c>
      <c r="E42" s="10" t="n">
        <v>15</v>
      </c>
      <c r="F42" s="10" t="n">
        <v>1</v>
      </c>
      <c r="G42" s="10" t="n">
        <v>43</v>
      </c>
      <c r="H42" s="11" t="n">
        <v>354.25</v>
      </c>
      <c r="I42" s="12" t="n">
        <v>10.001</v>
      </c>
    </row>
    <row r="43" customFormat="false" ht="15" hidden="false" customHeight="false" outlineLevel="0" collapsed="false">
      <c r="A43" s="14" t="s">
        <v>45</v>
      </c>
      <c r="B43" s="14" t="s">
        <v>70</v>
      </c>
      <c r="C43" s="14" t="s">
        <v>49</v>
      </c>
      <c r="D43" s="14" t="n">
        <v>0.5</v>
      </c>
      <c r="E43" s="14" t="n">
        <v>15</v>
      </c>
      <c r="F43" s="14" t="n">
        <v>2</v>
      </c>
      <c r="G43" s="14" t="n">
        <v>44</v>
      </c>
      <c r="H43" s="15" t="n">
        <v>354.25</v>
      </c>
      <c r="I43" s="16" t="n">
        <v>10.001</v>
      </c>
    </row>
    <row r="44" customFormat="false" ht="15" hidden="false" customHeight="false" outlineLevel="0" collapsed="false">
      <c r="A44" s="10" t="s">
        <v>45</v>
      </c>
      <c r="B44" s="10" t="s">
        <v>70</v>
      </c>
      <c r="C44" s="10" t="s">
        <v>50</v>
      </c>
      <c r="D44" s="10" t="n">
        <v>0.5</v>
      </c>
      <c r="E44" s="10" t="n">
        <v>15</v>
      </c>
      <c r="F44" s="10" t="n">
        <v>0</v>
      </c>
      <c r="G44" s="10" t="n">
        <v>42</v>
      </c>
      <c r="H44" s="11" t="n">
        <v>356.06</v>
      </c>
      <c r="I44" s="12" t="n">
        <v>10.001</v>
      </c>
    </row>
    <row r="45" customFormat="false" ht="15" hidden="false" customHeight="false" outlineLevel="0" collapsed="false">
      <c r="A45" s="14" t="s">
        <v>45</v>
      </c>
      <c r="B45" s="14" t="s">
        <v>70</v>
      </c>
      <c r="C45" s="14" t="s">
        <v>50</v>
      </c>
      <c r="D45" s="14" t="n">
        <v>0.5</v>
      </c>
      <c r="E45" s="14" t="n">
        <v>15</v>
      </c>
      <c r="F45" s="14" t="n">
        <v>1</v>
      </c>
      <c r="G45" s="14" t="n">
        <v>43</v>
      </c>
      <c r="H45" s="15" t="n">
        <v>356.06</v>
      </c>
      <c r="I45" s="16" t="n">
        <v>10</v>
      </c>
    </row>
    <row r="46" customFormat="false" ht="15" hidden="false" customHeight="false" outlineLevel="0" collapsed="false">
      <c r="A46" s="10" t="s">
        <v>45</v>
      </c>
      <c r="B46" s="10" t="s">
        <v>70</v>
      </c>
      <c r="C46" s="10" t="s">
        <v>50</v>
      </c>
      <c r="D46" s="10" t="n">
        <v>0.5</v>
      </c>
      <c r="E46" s="10" t="n">
        <v>15</v>
      </c>
      <c r="F46" s="10" t="n">
        <v>2</v>
      </c>
      <c r="G46" s="10" t="n">
        <v>44</v>
      </c>
      <c r="H46" s="11" t="n">
        <v>356.06</v>
      </c>
      <c r="I46" s="12" t="n">
        <v>10</v>
      </c>
    </row>
    <row r="47" customFormat="false" ht="15" hidden="false" customHeight="false" outlineLevel="0" collapsed="false">
      <c r="A47" s="14" t="s">
        <v>45</v>
      </c>
      <c r="B47" s="14" t="s">
        <v>70</v>
      </c>
      <c r="C47" s="14" t="s">
        <v>46</v>
      </c>
      <c r="D47" s="14" t="n">
        <v>0.75</v>
      </c>
      <c r="E47" s="14" t="n">
        <v>15</v>
      </c>
      <c r="F47" s="14" t="n">
        <v>0</v>
      </c>
      <c r="G47" s="14" t="n">
        <v>42</v>
      </c>
      <c r="H47" s="15" t="n">
        <v>360.15</v>
      </c>
      <c r="I47" s="16" t="n">
        <v>10</v>
      </c>
    </row>
    <row r="48" customFormat="false" ht="15" hidden="false" customHeight="false" outlineLevel="0" collapsed="false">
      <c r="A48" s="10" t="s">
        <v>45</v>
      </c>
      <c r="B48" s="10" t="s">
        <v>70</v>
      </c>
      <c r="C48" s="10" t="s">
        <v>46</v>
      </c>
      <c r="D48" s="10" t="n">
        <v>0.75</v>
      </c>
      <c r="E48" s="10" t="n">
        <v>15</v>
      </c>
      <c r="F48" s="10" t="n">
        <v>1</v>
      </c>
      <c r="G48" s="10" t="n">
        <v>43</v>
      </c>
      <c r="H48" s="11" t="n">
        <v>360.15</v>
      </c>
      <c r="I48" s="12" t="n">
        <v>10</v>
      </c>
    </row>
    <row r="49" customFormat="false" ht="15" hidden="false" customHeight="false" outlineLevel="0" collapsed="false">
      <c r="A49" s="14" t="s">
        <v>45</v>
      </c>
      <c r="B49" s="14" t="s">
        <v>70</v>
      </c>
      <c r="C49" s="14" t="s">
        <v>46</v>
      </c>
      <c r="D49" s="14" t="n">
        <v>0.75</v>
      </c>
      <c r="E49" s="14" t="n">
        <v>15</v>
      </c>
      <c r="F49" s="14" t="n">
        <v>2</v>
      </c>
      <c r="G49" s="14" t="n">
        <v>44</v>
      </c>
      <c r="H49" s="15" t="n">
        <v>360.15</v>
      </c>
      <c r="I49" s="16" t="n">
        <v>10</v>
      </c>
    </row>
    <row r="50" customFormat="false" ht="15" hidden="false" customHeight="false" outlineLevel="0" collapsed="false">
      <c r="A50" s="10" t="s">
        <v>45</v>
      </c>
      <c r="B50" s="10" t="s">
        <v>70</v>
      </c>
      <c r="C50" s="10" t="s">
        <v>47</v>
      </c>
      <c r="D50" s="10" t="n">
        <v>0.75</v>
      </c>
      <c r="E50" s="10" t="n">
        <v>15</v>
      </c>
      <c r="F50" s="10" t="n">
        <v>0</v>
      </c>
      <c r="G50" s="10" t="n">
        <v>42</v>
      </c>
      <c r="H50" s="11" t="n">
        <v>355.72</v>
      </c>
      <c r="I50" s="12" t="n">
        <v>10.001</v>
      </c>
    </row>
    <row r="51" customFormat="false" ht="15" hidden="false" customHeight="false" outlineLevel="0" collapsed="false">
      <c r="A51" s="14" t="s">
        <v>45</v>
      </c>
      <c r="B51" s="14" t="s">
        <v>70</v>
      </c>
      <c r="C51" s="14" t="s">
        <v>47</v>
      </c>
      <c r="D51" s="14" t="n">
        <v>0.75</v>
      </c>
      <c r="E51" s="14" t="n">
        <v>15</v>
      </c>
      <c r="F51" s="14" t="n">
        <v>1</v>
      </c>
      <c r="G51" s="14" t="n">
        <v>43</v>
      </c>
      <c r="H51" s="15" t="n">
        <v>355.72</v>
      </c>
      <c r="I51" s="16" t="n">
        <v>10</v>
      </c>
    </row>
    <row r="52" customFormat="false" ht="15" hidden="false" customHeight="false" outlineLevel="0" collapsed="false">
      <c r="A52" s="10" t="s">
        <v>45</v>
      </c>
      <c r="B52" s="10" t="s">
        <v>70</v>
      </c>
      <c r="C52" s="10" t="s">
        <v>47</v>
      </c>
      <c r="D52" s="10" t="n">
        <v>0.75</v>
      </c>
      <c r="E52" s="10" t="n">
        <v>15</v>
      </c>
      <c r="F52" s="10" t="n">
        <v>2</v>
      </c>
      <c r="G52" s="10" t="n">
        <v>44</v>
      </c>
      <c r="H52" s="11" t="n">
        <v>355.72</v>
      </c>
      <c r="I52" s="12" t="n">
        <v>10</v>
      </c>
    </row>
    <row r="53" customFormat="false" ht="15" hidden="false" customHeight="false" outlineLevel="0" collapsed="false">
      <c r="A53" s="14" t="s">
        <v>45</v>
      </c>
      <c r="B53" s="14" t="s">
        <v>70</v>
      </c>
      <c r="C53" s="14" t="s">
        <v>48</v>
      </c>
      <c r="D53" s="14" t="n">
        <v>0.75</v>
      </c>
      <c r="E53" s="14" t="n">
        <v>15</v>
      </c>
      <c r="F53" s="14" t="n">
        <v>0</v>
      </c>
      <c r="G53" s="14" t="n">
        <v>42</v>
      </c>
      <c r="H53" s="15" t="n">
        <v>355.5</v>
      </c>
      <c r="I53" s="16" t="n">
        <v>10</v>
      </c>
    </row>
    <row r="54" customFormat="false" ht="15" hidden="false" customHeight="false" outlineLevel="0" collapsed="false">
      <c r="A54" s="10" t="s">
        <v>45</v>
      </c>
      <c r="B54" s="10" t="s">
        <v>70</v>
      </c>
      <c r="C54" s="10" t="s">
        <v>48</v>
      </c>
      <c r="D54" s="10" t="n">
        <v>0.75</v>
      </c>
      <c r="E54" s="10" t="n">
        <v>15</v>
      </c>
      <c r="F54" s="10" t="n">
        <v>1</v>
      </c>
      <c r="G54" s="10" t="n">
        <v>43</v>
      </c>
      <c r="H54" s="11" t="n">
        <v>355.5</v>
      </c>
      <c r="I54" s="12" t="n">
        <v>10</v>
      </c>
    </row>
    <row r="55" customFormat="false" ht="15" hidden="false" customHeight="false" outlineLevel="0" collapsed="false">
      <c r="A55" s="14" t="s">
        <v>45</v>
      </c>
      <c r="B55" s="14" t="s">
        <v>70</v>
      </c>
      <c r="C55" s="14" t="s">
        <v>48</v>
      </c>
      <c r="D55" s="14" t="n">
        <v>0.75</v>
      </c>
      <c r="E55" s="14" t="n">
        <v>15</v>
      </c>
      <c r="F55" s="14" t="n">
        <v>2</v>
      </c>
      <c r="G55" s="14" t="n">
        <v>44</v>
      </c>
      <c r="H55" s="15" t="n">
        <v>355.5</v>
      </c>
      <c r="I55" s="16" t="n">
        <v>10</v>
      </c>
    </row>
    <row r="56" customFormat="false" ht="15" hidden="false" customHeight="false" outlineLevel="0" collapsed="false">
      <c r="A56" s="10" t="s">
        <v>45</v>
      </c>
      <c r="B56" s="10" t="s">
        <v>70</v>
      </c>
      <c r="C56" s="10" t="s">
        <v>49</v>
      </c>
      <c r="D56" s="10" t="n">
        <v>0.75</v>
      </c>
      <c r="E56" s="10" t="n">
        <v>15</v>
      </c>
      <c r="F56" s="10" t="n">
        <v>0</v>
      </c>
      <c r="G56" s="10" t="n">
        <v>42</v>
      </c>
      <c r="H56" s="11" t="n">
        <v>354.25</v>
      </c>
      <c r="I56" s="12" t="n">
        <v>10.001</v>
      </c>
    </row>
    <row r="57" customFormat="false" ht="15" hidden="false" customHeight="false" outlineLevel="0" collapsed="false">
      <c r="A57" s="14" t="s">
        <v>45</v>
      </c>
      <c r="B57" s="14" t="s">
        <v>70</v>
      </c>
      <c r="C57" s="14" t="s">
        <v>49</v>
      </c>
      <c r="D57" s="14" t="n">
        <v>0.75</v>
      </c>
      <c r="E57" s="14" t="n">
        <v>15</v>
      </c>
      <c r="F57" s="14" t="n">
        <v>1</v>
      </c>
      <c r="G57" s="14" t="n">
        <v>43</v>
      </c>
      <c r="H57" s="15" t="n">
        <v>354.25</v>
      </c>
      <c r="I57" s="16" t="n">
        <v>10.001</v>
      </c>
    </row>
    <row r="58" customFormat="false" ht="15" hidden="false" customHeight="false" outlineLevel="0" collapsed="false">
      <c r="A58" s="10" t="s">
        <v>45</v>
      </c>
      <c r="B58" s="10" t="s">
        <v>70</v>
      </c>
      <c r="C58" s="10" t="s">
        <v>49</v>
      </c>
      <c r="D58" s="10" t="n">
        <v>0.75</v>
      </c>
      <c r="E58" s="10" t="n">
        <v>15</v>
      </c>
      <c r="F58" s="10" t="n">
        <v>2</v>
      </c>
      <c r="G58" s="10" t="n">
        <v>44</v>
      </c>
      <c r="H58" s="11" t="n">
        <v>354.25</v>
      </c>
      <c r="I58" s="12" t="n">
        <v>10</v>
      </c>
    </row>
    <row r="59" customFormat="false" ht="15" hidden="false" customHeight="false" outlineLevel="0" collapsed="false">
      <c r="A59" s="14" t="s">
        <v>45</v>
      </c>
      <c r="B59" s="14" t="s">
        <v>70</v>
      </c>
      <c r="C59" s="14" t="s">
        <v>50</v>
      </c>
      <c r="D59" s="14" t="n">
        <v>0.75</v>
      </c>
      <c r="E59" s="14" t="n">
        <v>15</v>
      </c>
      <c r="F59" s="14" t="n">
        <v>0</v>
      </c>
      <c r="G59" s="14" t="n">
        <v>42</v>
      </c>
      <c r="H59" s="15" t="n">
        <v>356.06</v>
      </c>
      <c r="I59" s="16" t="n">
        <v>10.001</v>
      </c>
    </row>
    <row r="60" customFormat="false" ht="15" hidden="false" customHeight="false" outlineLevel="0" collapsed="false">
      <c r="A60" s="10" t="s">
        <v>45</v>
      </c>
      <c r="B60" s="10" t="s">
        <v>70</v>
      </c>
      <c r="C60" s="10" t="s">
        <v>50</v>
      </c>
      <c r="D60" s="10" t="n">
        <v>0.75</v>
      </c>
      <c r="E60" s="10" t="n">
        <v>15</v>
      </c>
      <c r="F60" s="10" t="n">
        <v>1</v>
      </c>
      <c r="G60" s="10" t="n">
        <v>43</v>
      </c>
      <c r="H60" s="11" t="n">
        <v>356.06</v>
      </c>
      <c r="I60" s="12" t="n">
        <v>10.001</v>
      </c>
    </row>
    <row r="61" customFormat="false" ht="15" hidden="false" customHeight="false" outlineLevel="0" collapsed="false">
      <c r="A61" s="14" t="s">
        <v>45</v>
      </c>
      <c r="B61" s="14" t="s">
        <v>70</v>
      </c>
      <c r="C61" s="14" t="s">
        <v>50</v>
      </c>
      <c r="D61" s="14" t="n">
        <v>0.75</v>
      </c>
      <c r="E61" s="14" t="n">
        <v>15</v>
      </c>
      <c r="F61" s="14" t="n">
        <v>2</v>
      </c>
      <c r="G61" s="14" t="n">
        <v>44</v>
      </c>
      <c r="H61" s="15" t="n">
        <v>356.06</v>
      </c>
      <c r="I61" s="16" t="n">
        <v>10</v>
      </c>
    </row>
    <row r="62" customFormat="false" ht="15" hidden="false" customHeight="false" outlineLevel="0" collapsed="false">
      <c r="A62" s="10" t="s">
        <v>45</v>
      </c>
      <c r="B62" s="10" t="s">
        <v>70</v>
      </c>
      <c r="C62" s="10" t="s">
        <v>46</v>
      </c>
      <c r="D62" s="10" t="n">
        <v>0.9</v>
      </c>
      <c r="E62" s="10" t="n">
        <v>15</v>
      </c>
      <c r="F62" s="10" t="n">
        <v>0</v>
      </c>
      <c r="G62" s="10" t="n">
        <v>42</v>
      </c>
      <c r="H62" s="11" t="n">
        <v>360.15</v>
      </c>
      <c r="I62" s="12" t="n">
        <v>10</v>
      </c>
    </row>
    <row r="63" customFormat="false" ht="15" hidden="false" customHeight="false" outlineLevel="0" collapsed="false">
      <c r="A63" s="14" t="s">
        <v>45</v>
      </c>
      <c r="B63" s="14" t="s">
        <v>70</v>
      </c>
      <c r="C63" s="14" t="s">
        <v>46</v>
      </c>
      <c r="D63" s="14" t="n">
        <v>0.9</v>
      </c>
      <c r="E63" s="14" t="n">
        <v>15</v>
      </c>
      <c r="F63" s="14" t="n">
        <v>1</v>
      </c>
      <c r="G63" s="14" t="n">
        <v>43</v>
      </c>
      <c r="H63" s="15" t="n">
        <v>360.15</v>
      </c>
      <c r="I63" s="16" t="n">
        <v>10</v>
      </c>
    </row>
    <row r="64" customFormat="false" ht="15" hidden="false" customHeight="false" outlineLevel="0" collapsed="false">
      <c r="A64" s="10" t="s">
        <v>45</v>
      </c>
      <c r="B64" s="10" t="s">
        <v>70</v>
      </c>
      <c r="C64" s="10" t="s">
        <v>46</v>
      </c>
      <c r="D64" s="10" t="n">
        <v>0.9</v>
      </c>
      <c r="E64" s="10" t="n">
        <v>15</v>
      </c>
      <c r="F64" s="10" t="n">
        <v>2</v>
      </c>
      <c r="G64" s="10" t="n">
        <v>44</v>
      </c>
      <c r="H64" s="11" t="n">
        <v>360.15</v>
      </c>
      <c r="I64" s="12" t="n">
        <v>10.001</v>
      </c>
    </row>
    <row r="65" customFormat="false" ht="15" hidden="false" customHeight="false" outlineLevel="0" collapsed="false">
      <c r="A65" s="14" t="s">
        <v>45</v>
      </c>
      <c r="B65" s="14" t="s">
        <v>70</v>
      </c>
      <c r="C65" s="14" t="s">
        <v>47</v>
      </c>
      <c r="D65" s="14" t="n">
        <v>0.9</v>
      </c>
      <c r="E65" s="14" t="n">
        <v>15</v>
      </c>
      <c r="F65" s="14" t="n">
        <v>0</v>
      </c>
      <c r="G65" s="14" t="n">
        <v>42</v>
      </c>
      <c r="H65" s="15" t="n">
        <v>355.72</v>
      </c>
      <c r="I65" s="16" t="n">
        <v>10</v>
      </c>
    </row>
    <row r="66" customFormat="false" ht="15" hidden="false" customHeight="false" outlineLevel="0" collapsed="false">
      <c r="A66" s="10" t="s">
        <v>45</v>
      </c>
      <c r="B66" s="10" t="s">
        <v>70</v>
      </c>
      <c r="C66" s="10" t="s">
        <v>47</v>
      </c>
      <c r="D66" s="10" t="n">
        <v>0.9</v>
      </c>
      <c r="E66" s="10" t="n">
        <v>15</v>
      </c>
      <c r="F66" s="10" t="n">
        <v>1</v>
      </c>
      <c r="G66" s="10" t="n">
        <v>43</v>
      </c>
      <c r="H66" s="11" t="n">
        <v>355.72</v>
      </c>
      <c r="I66" s="12" t="n">
        <v>10</v>
      </c>
    </row>
    <row r="67" customFormat="false" ht="15" hidden="false" customHeight="false" outlineLevel="0" collapsed="false">
      <c r="A67" s="14" t="s">
        <v>45</v>
      </c>
      <c r="B67" s="14" t="s">
        <v>70</v>
      </c>
      <c r="C67" s="14" t="s">
        <v>47</v>
      </c>
      <c r="D67" s="14" t="n">
        <v>0.9</v>
      </c>
      <c r="E67" s="14" t="n">
        <v>15</v>
      </c>
      <c r="F67" s="14" t="n">
        <v>2</v>
      </c>
      <c r="G67" s="14" t="n">
        <v>44</v>
      </c>
      <c r="H67" s="15" t="n">
        <v>355.72</v>
      </c>
      <c r="I67" s="16" t="n">
        <v>10.001</v>
      </c>
    </row>
    <row r="68" customFormat="false" ht="15" hidden="false" customHeight="false" outlineLevel="0" collapsed="false">
      <c r="A68" s="10" t="s">
        <v>45</v>
      </c>
      <c r="B68" s="10" t="s">
        <v>70</v>
      </c>
      <c r="C68" s="10" t="s">
        <v>48</v>
      </c>
      <c r="D68" s="10" t="n">
        <v>0.9</v>
      </c>
      <c r="E68" s="10" t="n">
        <v>15</v>
      </c>
      <c r="F68" s="10" t="n">
        <v>0</v>
      </c>
      <c r="G68" s="10" t="n">
        <v>42</v>
      </c>
      <c r="H68" s="11" t="n">
        <v>355.5</v>
      </c>
      <c r="I68" s="12" t="n">
        <v>10</v>
      </c>
    </row>
    <row r="69" customFormat="false" ht="15" hidden="false" customHeight="false" outlineLevel="0" collapsed="false">
      <c r="A69" s="14" t="s">
        <v>45</v>
      </c>
      <c r="B69" s="14" t="s">
        <v>70</v>
      </c>
      <c r="C69" s="14" t="s">
        <v>48</v>
      </c>
      <c r="D69" s="14" t="n">
        <v>0.9</v>
      </c>
      <c r="E69" s="14" t="n">
        <v>15</v>
      </c>
      <c r="F69" s="14" t="n">
        <v>1</v>
      </c>
      <c r="G69" s="14" t="n">
        <v>43</v>
      </c>
      <c r="H69" s="15" t="n">
        <v>355.5</v>
      </c>
      <c r="I69" s="16" t="n">
        <v>10</v>
      </c>
    </row>
    <row r="70" customFormat="false" ht="15" hidden="false" customHeight="false" outlineLevel="0" collapsed="false">
      <c r="A70" s="10" t="s">
        <v>45</v>
      </c>
      <c r="B70" s="10" t="s">
        <v>70</v>
      </c>
      <c r="C70" s="10" t="s">
        <v>48</v>
      </c>
      <c r="D70" s="10" t="n">
        <v>0.9</v>
      </c>
      <c r="E70" s="10" t="n">
        <v>15</v>
      </c>
      <c r="F70" s="10" t="n">
        <v>2</v>
      </c>
      <c r="G70" s="10" t="n">
        <v>44</v>
      </c>
      <c r="H70" s="11" t="n">
        <v>355.5</v>
      </c>
      <c r="I70" s="12" t="n">
        <v>10.001</v>
      </c>
    </row>
    <row r="71" customFormat="false" ht="15" hidden="false" customHeight="false" outlineLevel="0" collapsed="false">
      <c r="A71" s="14" t="s">
        <v>45</v>
      </c>
      <c r="B71" s="14" t="s">
        <v>70</v>
      </c>
      <c r="C71" s="14" t="s">
        <v>49</v>
      </c>
      <c r="D71" s="14" t="n">
        <v>0.9</v>
      </c>
      <c r="E71" s="14" t="n">
        <v>15</v>
      </c>
      <c r="F71" s="14" t="n">
        <v>0</v>
      </c>
      <c r="G71" s="14" t="n">
        <v>42</v>
      </c>
      <c r="H71" s="15" t="n">
        <v>354.25</v>
      </c>
      <c r="I71" s="16" t="n">
        <v>10.001</v>
      </c>
    </row>
    <row r="72" customFormat="false" ht="15" hidden="false" customHeight="false" outlineLevel="0" collapsed="false">
      <c r="A72" s="10" t="s">
        <v>45</v>
      </c>
      <c r="B72" s="10" t="s">
        <v>70</v>
      </c>
      <c r="C72" s="10" t="s">
        <v>49</v>
      </c>
      <c r="D72" s="10" t="n">
        <v>0.9</v>
      </c>
      <c r="E72" s="10" t="n">
        <v>15</v>
      </c>
      <c r="F72" s="10" t="n">
        <v>1</v>
      </c>
      <c r="G72" s="10" t="n">
        <v>43</v>
      </c>
      <c r="H72" s="11" t="n">
        <v>354.25</v>
      </c>
      <c r="I72" s="12" t="n">
        <v>10</v>
      </c>
    </row>
    <row r="73" customFormat="false" ht="15" hidden="false" customHeight="false" outlineLevel="0" collapsed="false">
      <c r="A73" s="14" t="s">
        <v>45</v>
      </c>
      <c r="B73" s="14" t="s">
        <v>70</v>
      </c>
      <c r="C73" s="14" t="s">
        <v>49</v>
      </c>
      <c r="D73" s="14" t="n">
        <v>0.9</v>
      </c>
      <c r="E73" s="14" t="n">
        <v>15</v>
      </c>
      <c r="F73" s="14" t="n">
        <v>2</v>
      </c>
      <c r="G73" s="14" t="n">
        <v>44</v>
      </c>
      <c r="H73" s="15" t="n">
        <v>354.25</v>
      </c>
      <c r="I73" s="16" t="n">
        <v>10</v>
      </c>
    </row>
    <row r="74" customFormat="false" ht="15" hidden="false" customHeight="false" outlineLevel="0" collapsed="false">
      <c r="A74" s="10" t="s">
        <v>45</v>
      </c>
      <c r="B74" s="10" t="s">
        <v>70</v>
      </c>
      <c r="C74" s="10" t="s">
        <v>50</v>
      </c>
      <c r="D74" s="10" t="n">
        <v>0.9</v>
      </c>
      <c r="E74" s="10" t="n">
        <v>15</v>
      </c>
      <c r="F74" s="10" t="n">
        <v>0</v>
      </c>
      <c r="G74" s="10" t="n">
        <v>42</v>
      </c>
      <c r="H74" s="11" t="n">
        <v>356.06</v>
      </c>
      <c r="I74" s="12" t="n">
        <v>10.001</v>
      </c>
    </row>
    <row r="75" customFormat="false" ht="15" hidden="false" customHeight="false" outlineLevel="0" collapsed="false">
      <c r="A75" s="14" t="s">
        <v>45</v>
      </c>
      <c r="B75" s="14" t="s">
        <v>70</v>
      </c>
      <c r="C75" s="14" t="s">
        <v>50</v>
      </c>
      <c r="D75" s="14" t="n">
        <v>0.9</v>
      </c>
      <c r="E75" s="14" t="n">
        <v>15</v>
      </c>
      <c r="F75" s="14" t="n">
        <v>1</v>
      </c>
      <c r="G75" s="14" t="n">
        <v>43</v>
      </c>
      <c r="H75" s="15" t="n">
        <v>356.06</v>
      </c>
      <c r="I75" s="16" t="n">
        <v>10.001</v>
      </c>
    </row>
    <row r="76" customFormat="false" ht="15" hidden="false" customHeight="false" outlineLevel="0" collapsed="false">
      <c r="A76" s="10" t="s">
        <v>45</v>
      </c>
      <c r="B76" s="10" t="s">
        <v>70</v>
      </c>
      <c r="C76" s="10" t="s">
        <v>50</v>
      </c>
      <c r="D76" s="10" t="n">
        <v>0.9</v>
      </c>
      <c r="E76" s="10" t="n">
        <v>15</v>
      </c>
      <c r="F76" s="10" t="n">
        <v>2</v>
      </c>
      <c r="G76" s="10" t="n">
        <v>44</v>
      </c>
      <c r="H76" s="11" t="n">
        <v>356.06</v>
      </c>
      <c r="I76" s="12" t="n">
        <v>10</v>
      </c>
    </row>
    <row r="77" customFormat="false" ht="15" hidden="false" customHeight="false" outlineLevel="0" collapsed="false">
      <c r="A77" s="14" t="s">
        <v>45</v>
      </c>
      <c r="B77" s="14" t="s">
        <v>70</v>
      </c>
      <c r="C77" s="14" t="s">
        <v>46</v>
      </c>
      <c r="D77" s="14" t="s">
        <v>51</v>
      </c>
      <c r="E77" s="14" t="n">
        <v>15</v>
      </c>
      <c r="F77" s="14" t="n">
        <v>0</v>
      </c>
      <c r="G77" s="14" t="n">
        <v>42</v>
      </c>
      <c r="H77" s="15" t="n">
        <v>360.15</v>
      </c>
      <c r="I77" s="16" t="n">
        <v>10</v>
      </c>
    </row>
    <row r="78" customFormat="false" ht="15" hidden="false" customHeight="false" outlineLevel="0" collapsed="false">
      <c r="A78" s="10" t="s">
        <v>45</v>
      </c>
      <c r="B78" s="10" t="s">
        <v>70</v>
      </c>
      <c r="C78" s="10" t="s">
        <v>46</v>
      </c>
      <c r="D78" s="10" t="s">
        <v>51</v>
      </c>
      <c r="E78" s="10" t="n">
        <v>15</v>
      </c>
      <c r="F78" s="10" t="n">
        <v>1</v>
      </c>
      <c r="G78" s="10" t="n">
        <v>43</v>
      </c>
      <c r="H78" s="11" t="n">
        <v>360.15</v>
      </c>
      <c r="I78" s="12" t="n">
        <v>10</v>
      </c>
    </row>
    <row r="79" customFormat="false" ht="15" hidden="false" customHeight="false" outlineLevel="0" collapsed="false">
      <c r="A79" s="14" t="s">
        <v>45</v>
      </c>
      <c r="B79" s="14" t="s">
        <v>70</v>
      </c>
      <c r="C79" s="14" t="s">
        <v>46</v>
      </c>
      <c r="D79" s="14" t="s">
        <v>51</v>
      </c>
      <c r="E79" s="14" t="n">
        <v>15</v>
      </c>
      <c r="F79" s="14" t="n">
        <v>2</v>
      </c>
      <c r="G79" s="14" t="n">
        <v>44</v>
      </c>
      <c r="H79" s="15" t="n">
        <v>357.44</v>
      </c>
      <c r="I79" s="16" t="n">
        <v>10.001</v>
      </c>
    </row>
    <row r="80" customFormat="false" ht="15" hidden="false" customHeight="false" outlineLevel="0" collapsed="false">
      <c r="A80" s="10" t="s">
        <v>45</v>
      </c>
      <c r="B80" s="10" t="s">
        <v>70</v>
      </c>
      <c r="C80" s="10" t="s">
        <v>47</v>
      </c>
      <c r="D80" s="10" t="s">
        <v>51</v>
      </c>
      <c r="E80" s="10" t="n">
        <v>15</v>
      </c>
      <c r="F80" s="10" t="n">
        <v>0</v>
      </c>
      <c r="G80" s="10" t="n">
        <v>42</v>
      </c>
      <c r="H80" s="11" t="n">
        <v>355.72</v>
      </c>
      <c r="I80" s="12" t="n">
        <v>10</v>
      </c>
    </row>
    <row r="81" customFormat="false" ht="15" hidden="false" customHeight="false" outlineLevel="0" collapsed="false">
      <c r="A81" s="14" t="s">
        <v>45</v>
      </c>
      <c r="B81" s="14" t="s">
        <v>70</v>
      </c>
      <c r="C81" s="14" t="s">
        <v>47</v>
      </c>
      <c r="D81" s="14" t="s">
        <v>51</v>
      </c>
      <c r="E81" s="14" t="n">
        <v>15</v>
      </c>
      <c r="F81" s="14" t="n">
        <v>1</v>
      </c>
      <c r="G81" s="14" t="n">
        <v>43</v>
      </c>
      <c r="H81" s="15" t="n">
        <v>355.72</v>
      </c>
      <c r="I81" s="16" t="n">
        <v>10.001</v>
      </c>
    </row>
    <row r="82" customFormat="false" ht="15" hidden="false" customHeight="false" outlineLevel="0" collapsed="false">
      <c r="A82" s="10" t="s">
        <v>45</v>
      </c>
      <c r="B82" s="10" t="s">
        <v>70</v>
      </c>
      <c r="C82" s="10" t="s">
        <v>47</v>
      </c>
      <c r="D82" s="10" t="s">
        <v>51</v>
      </c>
      <c r="E82" s="10" t="n">
        <v>15</v>
      </c>
      <c r="F82" s="10" t="n">
        <v>2</v>
      </c>
      <c r="G82" s="10" t="n">
        <v>44</v>
      </c>
      <c r="H82" s="11" t="n">
        <v>355.72</v>
      </c>
      <c r="I82" s="12" t="n">
        <v>10</v>
      </c>
    </row>
    <row r="83" customFormat="false" ht="15" hidden="false" customHeight="false" outlineLevel="0" collapsed="false">
      <c r="A83" s="14" t="s">
        <v>45</v>
      </c>
      <c r="B83" s="14" t="s">
        <v>70</v>
      </c>
      <c r="C83" s="14" t="s">
        <v>48</v>
      </c>
      <c r="D83" s="14" t="s">
        <v>51</v>
      </c>
      <c r="E83" s="14" t="n">
        <v>15</v>
      </c>
      <c r="F83" s="14" t="n">
        <v>0</v>
      </c>
      <c r="G83" s="14" t="n">
        <v>42</v>
      </c>
      <c r="H83" s="15" t="n">
        <v>355.5</v>
      </c>
      <c r="I83" s="16" t="n">
        <v>10</v>
      </c>
    </row>
    <row r="84" customFormat="false" ht="15" hidden="false" customHeight="false" outlineLevel="0" collapsed="false">
      <c r="A84" s="10" t="s">
        <v>45</v>
      </c>
      <c r="B84" s="10" t="s">
        <v>70</v>
      </c>
      <c r="C84" s="10" t="s">
        <v>48</v>
      </c>
      <c r="D84" s="10" t="s">
        <v>51</v>
      </c>
      <c r="E84" s="10" t="n">
        <v>15</v>
      </c>
      <c r="F84" s="10" t="n">
        <v>1</v>
      </c>
      <c r="G84" s="10" t="n">
        <v>43</v>
      </c>
      <c r="H84" s="11" t="n">
        <v>355.5</v>
      </c>
      <c r="I84" s="12" t="n">
        <v>10.001</v>
      </c>
    </row>
    <row r="85" customFormat="false" ht="15" hidden="false" customHeight="false" outlineLevel="0" collapsed="false">
      <c r="A85" s="14" t="s">
        <v>45</v>
      </c>
      <c r="B85" s="14" t="s">
        <v>70</v>
      </c>
      <c r="C85" s="14" t="s">
        <v>48</v>
      </c>
      <c r="D85" s="14" t="s">
        <v>51</v>
      </c>
      <c r="E85" s="14" t="n">
        <v>15</v>
      </c>
      <c r="F85" s="14" t="n">
        <v>2</v>
      </c>
      <c r="G85" s="14" t="n">
        <v>44</v>
      </c>
      <c r="H85" s="15" t="n">
        <v>355.5</v>
      </c>
      <c r="I85" s="16" t="n">
        <v>10.001</v>
      </c>
    </row>
    <row r="86" customFormat="false" ht="15" hidden="false" customHeight="false" outlineLevel="0" collapsed="false">
      <c r="A86" s="10" t="s">
        <v>45</v>
      </c>
      <c r="B86" s="10" t="s">
        <v>70</v>
      </c>
      <c r="C86" s="10" t="s">
        <v>49</v>
      </c>
      <c r="D86" s="10" t="s">
        <v>51</v>
      </c>
      <c r="E86" s="10" t="n">
        <v>15</v>
      </c>
      <c r="F86" s="10" t="n">
        <v>0</v>
      </c>
      <c r="G86" s="10" t="n">
        <v>42</v>
      </c>
      <c r="H86" s="11" t="n">
        <v>351.82</v>
      </c>
      <c r="I86" s="12" t="n">
        <v>10.001</v>
      </c>
    </row>
    <row r="87" customFormat="false" ht="15" hidden="false" customHeight="false" outlineLevel="0" collapsed="false">
      <c r="A87" s="14" t="s">
        <v>45</v>
      </c>
      <c r="B87" s="14" t="s">
        <v>70</v>
      </c>
      <c r="C87" s="14" t="s">
        <v>49</v>
      </c>
      <c r="D87" s="14" t="s">
        <v>51</v>
      </c>
      <c r="E87" s="14" t="n">
        <v>15</v>
      </c>
      <c r="F87" s="14" t="n">
        <v>1</v>
      </c>
      <c r="G87" s="14" t="n">
        <v>43</v>
      </c>
      <c r="H87" s="15" t="n">
        <v>354.25</v>
      </c>
      <c r="I87" s="16" t="n">
        <v>10.001</v>
      </c>
    </row>
    <row r="88" customFormat="false" ht="15" hidden="false" customHeight="false" outlineLevel="0" collapsed="false">
      <c r="A88" s="10" t="s">
        <v>45</v>
      </c>
      <c r="B88" s="10" t="s">
        <v>70</v>
      </c>
      <c r="C88" s="10" t="s">
        <v>49</v>
      </c>
      <c r="D88" s="10" t="s">
        <v>51</v>
      </c>
      <c r="E88" s="10" t="n">
        <v>15</v>
      </c>
      <c r="F88" s="10" t="n">
        <v>2</v>
      </c>
      <c r="G88" s="10" t="n">
        <v>44</v>
      </c>
      <c r="H88" s="11" t="n">
        <v>354.25</v>
      </c>
      <c r="I88" s="12" t="n">
        <v>10.001</v>
      </c>
    </row>
    <row r="89" customFormat="false" ht="15" hidden="false" customHeight="false" outlineLevel="0" collapsed="false">
      <c r="A89" s="14" t="s">
        <v>45</v>
      </c>
      <c r="B89" s="14" t="s">
        <v>70</v>
      </c>
      <c r="C89" s="14" t="s">
        <v>50</v>
      </c>
      <c r="D89" s="14" t="s">
        <v>51</v>
      </c>
      <c r="E89" s="14" t="n">
        <v>15</v>
      </c>
      <c r="F89" s="14" t="n">
        <v>0</v>
      </c>
      <c r="G89" s="14" t="n">
        <v>42</v>
      </c>
      <c r="H89" s="15" t="n">
        <v>356.06</v>
      </c>
      <c r="I89" s="16" t="n">
        <v>10.001</v>
      </c>
    </row>
    <row r="90" customFormat="false" ht="15" hidden="false" customHeight="false" outlineLevel="0" collapsed="false">
      <c r="A90" s="10" t="s">
        <v>45</v>
      </c>
      <c r="B90" s="10" t="s">
        <v>70</v>
      </c>
      <c r="C90" s="10" t="s">
        <v>50</v>
      </c>
      <c r="D90" s="10" t="s">
        <v>51</v>
      </c>
      <c r="E90" s="10" t="n">
        <v>15</v>
      </c>
      <c r="F90" s="10" t="n">
        <v>1</v>
      </c>
      <c r="G90" s="10" t="n">
        <v>43</v>
      </c>
      <c r="H90" s="11" t="n">
        <v>356.06</v>
      </c>
      <c r="I90" s="12" t="n">
        <v>10</v>
      </c>
    </row>
    <row r="91" customFormat="false" ht="15" hidden="false" customHeight="false" outlineLevel="0" collapsed="false">
      <c r="A91" s="14" t="s">
        <v>45</v>
      </c>
      <c r="B91" s="14" t="s">
        <v>70</v>
      </c>
      <c r="C91" s="14" t="s">
        <v>50</v>
      </c>
      <c r="D91" s="14" t="s">
        <v>51</v>
      </c>
      <c r="E91" s="14" t="n">
        <v>15</v>
      </c>
      <c r="F91" s="14" t="n">
        <v>2</v>
      </c>
      <c r="G91" s="14" t="n">
        <v>44</v>
      </c>
      <c r="H91" s="15" t="n">
        <v>356.06</v>
      </c>
      <c r="I91" s="16" t="n">
        <v>10.001</v>
      </c>
    </row>
    <row r="92" customFormat="false" ht="15" hidden="false" customHeight="false" outlineLevel="0" collapsed="false">
      <c r="A92" s="10" t="s">
        <v>45</v>
      </c>
      <c r="B92" s="10" t="s">
        <v>71</v>
      </c>
      <c r="C92" s="10" t="s">
        <v>46</v>
      </c>
      <c r="D92" s="10" t="n">
        <v>0.25</v>
      </c>
      <c r="E92" s="10" t="n">
        <v>5</v>
      </c>
      <c r="F92" s="10" t="n">
        <v>0</v>
      </c>
      <c r="G92" s="10" t="n">
        <v>42</v>
      </c>
      <c r="H92" s="11" t="n">
        <v>360.15</v>
      </c>
      <c r="I92" s="12" t="n">
        <v>10</v>
      </c>
    </row>
    <row r="93" customFormat="false" ht="15" hidden="false" customHeight="false" outlineLevel="0" collapsed="false">
      <c r="A93" s="14" t="s">
        <v>45</v>
      </c>
      <c r="B93" s="14" t="s">
        <v>71</v>
      </c>
      <c r="C93" s="14" t="s">
        <v>46</v>
      </c>
      <c r="D93" s="14" t="n">
        <v>0.25</v>
      </c>
      <c r="E93" s="14" t="n">
        <v>5</v>
      </c>
      <c r="F93" s="14" t="n">
        <v>1</v>
      </c>
      <c r="G93" s="14" t="n">
        <v>43</v>
      </c>
      <c r="H93" s="15" t="n">
        <v>360.15</v>
      </c>
      <c r="I93" s="16" t="n">
        <v>10.001</v>
      </c>
    </row>
    <row r="94" customFormat="false" ht="15" hidden="false" customHeight="false" outlineLevel="0" collapsed="false">
      <c r="A94" s="10" t="s">
        <v>45</v>
      </c>
      <c r="B94" s="10" t="s">
        <v>71</v>
      </c>
      <c r="C94" s="10" t="s">
        <v>46</v>
      </c>
      <c r="D94" s="10" t="n">
        <v>0.25</v>
      </c>
      <c r="E94" s="10" t="n">
        <v>5</v>
      </c>
      <c r="F94" s="10" t="n">
        <v>2</v>
      </c>
      <c r="G94" s="10" t="n">
        <v>44</v>
      </c>
      <c r="H94" s="11" t="n">
        <v>360.15</v>
      </c>
      <c r="I94" s="12" t="n">
        <v>10</v>
      </c>
    </row>
    <row r="95" customFormat="false" ht="15" hidden="false" customHeight="false" outlineLevel="0" collapsed="false">
      <c r="A95" s="14" t="s">
        <v>45</v>
      </c>
      <c r="B95" s="14" t="s">
        <v>71</v>
      </c>
      <c r="C95" s="14" t="s">
        <v>47</v>
      </c>
      <c r="D95" s="14" t="n">
        <v>0.25</v>
      </c>
      <c r="E95" s="14" t="n">
        <v>5</v>
      </c>
      <c r="F95" s="14" t="n">
        <v>0</v>
      </c>
      <c r="G95" s="14" t="n">
        <v>42</v>
      </c>
      <c r="H95" s="15" t="n">
        <v>355.72</v>
      </c>
      <c r="I95" s="16" t="n">
        <v>10.001</v>
      </c>
    </row>
    <row r="96" customFormat="false" ht="15" hidden="false" customHeight="false" outlineLevel="0" collapsed="false">
      <c r="A96" s="10" t="s">
        <v>45</v>
      </c>
      <c r="B96" s="10" t="s">
        <v>71</v>
      </c>
      <c r="C96" s="10" t="s">
        <v>47</v>
      </c>
      <c r="D96" s="10" t="n">
        <v>0.25</v>
      </c>
      <c r="E96" s="10" t="n">
        <v>5</v>
      </c>
      <c r="F96" s="10" t="n">
        <v>1</v>
      </c>
      <c r="G96" s="10" t="n">
        <v>43</v>
      </c>
      <c r="H96" s="11" t="n">
        <v>355.72</v>
      </c>
      <c r="I96" s="12" t="n">
        <v>10</v>
      </c>
    </row>
    <row r="97" customFormat="false" ht="15" hidden="false" customHeight="false" outlineLevel="0" collapsed="false">
      <c r="A97" s="14" t="s">
        <v>45</v>
      </c>
      <c r="B97" s="14" t="s">
        <v>71</v>
      </c>
      <c r="C97" s="14" t="s">
        <v>47</v>
      </c>
      <c r="D97" s="14" t="n">
        <v>0.25</v>
      </c>
      <c r="E97" s="14" t="n">
        <v>5</v>
      </c>
      <c r="F97" s="14" t="n">
        <v>2</v>
      </c>
      <c r="G97" s="14" t="n">
        <v>44</v>
      </c>
      <c r="H97" s="15" t="n">
        <v>355.72</v>
      </c>
      <c r="I97" s="16" t="n">
        <v>10.001</v>
      </c>
    </row>
    <row r="98" customFormat="false" ht="15" hidden="false" customHeight="false" outlineLevel="0" collapsed="false">
      <c r="A98" s="10" t="s">
        <v>45</v>
      </c>
      <c r="B98" s="10" t="s">
        <v>71</v>
      </c>
      <c r="C98" s="10" t="s">
        <v>48</v>
      </c>
      <c r="D98" s="10" t="n">
        <v>0.25</v>
      </c>
      <c r="E98" s="10" t="n">
        <v>5</v>
      </c>
      <c r="F98" s="10" t="n">
        <v>0</v>
      </c>
      <c r="G98" s="10" t="n">
        <v>42</v>
      </c>
      <c r="H98" s="11" t="n">
        <v>355.5</v>
      </c>
      <c r="I98" s="12" t="n">
        <v>10</v>
      </c>
    </row>
    <row r="99" customFormat="false" ht="15" hidden="false" customHeight="false" outlineLevel="0" collapsed="false">
      <c r="A99" s="14" t="s">
        <v>45</v>
      </c>
      <c r="B99" s="14" t="s">
        <v>71</v>
      </c>
      <c r="C99" s="14" t="s">
        <v>48</v>
      </c>
      <c r="D99" s="14" t="n">
        <v>0.25</v>
      </c>
      <c r="E99" s="14" t="n">
        <v>5</v>
      </c>
      <c r="F99" s="14" t="n">
        <v>1</v>
      </c>
      <c r="G99" s="14" t="n">
        <v>43</v>
      </c>
      <c r="H99" s="15" t="n">
        <v>355.5</v>
      </c>
      <c r="I99" s="16" t="n">
        <v>10</v>
      </c>
    </row>
    <row r="100" customFormat="false" ht="15" hidden="false" customHeight="false" outlineLevel="0" collapsed="false">
      <c r="A100" s="10" t="s">
        <v>45</v>
      </c>
      <c r="B100" s="10" t="s">
        <v>71</v>
      </c>
      <c r="C100" s="10" t="s">
        <v>48</v>
      </c>
      <c r="D100" s="10" t="n">
        <v>0.25</v>
      </c>
      <c r="E100" s="10" t="n">
        <v>5</v>
      </c>
      <c r="F100" s="10" t="n">
        <v>2</v>
      </c>
      <c r="G100" s="10" t="n">
        <v>44</v>
      </c>
      <c r="H100" s="11" t="n">
        <v>355.5</v>
      </c>
      <c r="I100" s="12" t="n">
        <v>10</v>
      </c>
    </row>
    <row r="101" customFormat="false" ht="15" hidden="false" customHeight="false" outlineLevel="0" collapsed="false">
      <c r="A101" s="14" t="s">
        <v>45</v>
      </c>
      <c r="B101" s="14" t="s">
        <v>71</v>
      </c>
      <c r="C101" s="14" t="s">
        <v>49</v>
      </c>
      <c r="D101" s="14" t="n">
        <v>0.25</v>
      </c>
      <c r="E101" s="14" t="n">
        <v>5</v>
      </c>
      <c r="F101" s="14" t="n">
        <v>0</v>
      </c>
      <c r="G101" s="14" t="n">
        <v>42</v>
      </c>
      <c r="H101" s="15" t="n">
        <v>354.25</v>
      </c>
      <c r="I101" s="16" t="n">
        <v>10.001</v>
      </c>
    </row>
    <row r="102" customFormat="false" ht="15" hidden="false" customHeight="false" outlineLevel="0" collapsed="false">
      <c r="A102" s="10" t="s">
        <v>45</v>
      </c>
      <c r="B102" s="10" t="s">
        <v>71</v>
      </c>
      <c r="C102" s="10" t="s">
        <v>49</v>
      </c>
      <c r="D102" s="10" t="n">
        <v>0.25</v>
      </c>
      <c r="E102" s="10" t="n">
        <v>5</v>
      </c>
      <c r="F102" s="10" t="n">
        <v>1</v>
      </c>
      <c r="G102" s="10" t="n">
        <v>43</v>
      </c>
      <c r="H102" s="11" t="n">
        <v>354.25</v>
      </c>
      <c r="I102" s="12" t="n">
        <v>10.001</v>
      </c>
    </row>
    <row r="103" customFormat="false" ht="15" hidden="false" customHeight="false" outlineLevel="0" collapsed="false">
      <c r="A103" s="14" t="s">
        <v>45</v>
      </c>
      <c r="B103" s="14" t="s">
        <v>71</v>
      </c>
      <c r="C103" s="14" t="s">
        <v>49</v>
      </c>
      <c r="D103" s="14" t="n">
        <v>0.25</v>
      </c>
      <c r="E103" s="14" t="n">
        <v>5</v>
      </c>
      <c r="F103" s="14" t="n">
        <v>2</v>
      </c>
      <c r="G103" s="14" t="n">
        <v>44</v>
      </c>
      <c r="H103" s="15" t="n">
        <v>349.53</v>
      </c>
      <c r="I103" s="16" t="n">
        <v>10.001</v>
      </c>
    </row>
    <row r="104" customFormat="false" ht="15" hidden="false" customHeight="false" outlineLevel="0" collapsed="false">
      <c r="A104" s="10" t="s">
        <v>45</v>
      </c>
      <c r="B104" s="10" t="s">
        <v>71</v>
      </c>
      <c r="C104" s="10" t="s">
        <v>50</v>
      </c>
      <c r="D104" s="10" t="n">
        <v>0.25</v>
      </c>
      <c r="E104" s="10" t="n">
        <v>5</v>
      </c>
      <c r="F104" s="10" t="n">
        <v>0</v>
      </c>
      <c r="G104" s="10" t="n">
        <v>42</v>
      </c>
      <c r="H104" s="11" t="n">
        <v>356.06</v>
      </c>
      <c r="I104" s="12" t="n">
        <v>10</v>
      </c>
    </row>
    <row r="105" customFormat="false" ht="15" hidden="false" customHeight="false" outlineLevel="0" collapsed="false">
      <c r="A105" s="14" t="s">
        <v>45</v>
      </c>
      <c r="B105" s="14" t="s">
        <v>71</v>
      </c>
      <c r="C105" s="14" t="s">
        <v>50</v>
      </c>
      <c r="D105" s="14" t="n">
        <v>0.25</v>
      </c>
      <c r="E105" s="14" t="n">
        <v>5</v>
      </c>
      <c r="F105" s="14" t="n">
        <v>1</v>
      </c>
      <c r="G105" s="14" t="n">
        <v>43</v>
      </c>
      <c r="H105" s="15" t="n">
        <v>352.59</v>
      </c>
      <c r="I105" s="16" t="n">
        <v>10.001</v>
      </c>
    </row>
    <row r="106" customFormat="false" ht="15" hidden="false" customHeight="false" outlineLevel="0" collapsed="false">
      <c r="A106" s="10" t="s">
        <v>45</v>
      </c>
      <c r="B106" s="10" t="s">
        <v>71</v>
      </c>
      <c r="C106" s="10" t="s">
        <v>50</v>
      </c>
      <c r="D106" s="10" t="n">
        <v>0.25</v>
      </c>
      <c r="E106" s="10" t="n">
        <v>5</v>
      </c>
      <c r="F106" s="10" t="n">
        <v>2</v>
      </c>
      <c r="G106" s="10" t="n">
        <v>44</v>
      </c>
      <c r="H106" s="11" t="n">
        <v>349.81</v>
      </c>
      <c r="I106" s="12" t="n">
        <v>10.001</v>
      </c>
    </row>
    <row r="107" customFormat="false" ht="15" hidden="false" customHeight="false" outlineLevel="0" collapsed="false">
      <c r="A107" s="14" t="s">
        <v>45</v>
      </c>
      <c r="B107" s="14" t="s">
        <v>71</v>
      </c>
      <c r="C107" s="14" t="s">
        <v>46</v>
      </c>
      <c r="D107" s="14" t="n">
        <v>0.25</v>
      </c>
      <c r="E107" s="14" t="n">
        <v>10</v>
      </c>
      <c r="F107" s="14" t="n">
        <v>0</v>
      </c>
      <c r="G107" s="14" t="n">
        <v>42</v>
      </c>
      <c r="H107" s="15" t="n">
        <v>360.15</v>
      </c>
      <c r="I107" s="16" t="n">
        <v>10.001</v>
      </c>
    </row>
    <row r="108" customFormat="false" ht="15" hidden="false" customHeight="false" outlineLevel="0" collapsed="false">
      <c r="A108" s="10" t="s">
        <v>45</v>
      </c>
      <c r="B108" s="10" t="s">
        <v>71</v>
      </c>
      <c r="C108" s="10" t="s">
        <v>46</v>
      </c>
      <c r="D108" s="10" t="n">
        <v>0.25</v>
      </c>
      <c r="E108" s="10" t="n">
        <v>10</v>
      </c>
      <c r="F108" s="10" t="n">
        <v>1</v>
      </c>
      <c r="G108" s="10" t="n">
        <v>43</v>
      </c>
      <c r="H108" s="11" t="n">
        <v>360.15</v>
      </c>
      <c r="I108" s="12" t="n">
        <v>10</v>
      </c>
    </row>
    <row r="109" customFormat="false" ht="15" hidden="false" customHeight="false" outlineLevel="0" collapsed="false">
      <c r="A109" s="14" t="s">
        <v>45</v>
      </c>
      <c r="B109" s="14" t="s">
        <v>71</v>
      </c>
      <c r="C109" s="14" t="s">
        <v>46</v>
      </c>
      <c r="D109" s="14" t="n">
        <v>0.25</v>
      </c>
      <c r="E109" s="14" t="n">
        <v>10</v>
      </c>
      <c r="F109" s="14" t="n">
        <v>2</v>
      </c>
      <c r="G109" s="14" t="n">
        <v>44</v>
      </c>
      <c r="H109" s="15" t="n">
        <v>360.15</v>
      </c>
      <c r="I109" s="16" t="n">
        <v>10.001</v>
      </c>
    </row>
    <row r="110" customFormat="false" ht="15" hidden="false" customHeight="false" outlineLevel="0" collapsed="false">
      <c r="A110" s="10" t="s">
        <v>45</v>
      </c>
      <c r="B110" s="10" t="s">
        <v>71</v>
      </c>
      <c r="C110" s="10" t="s">
        <v>47</v>
      </c>
      <c r="D110" s="10" t="n">
        <v>0.25</v>
      </c>
      <c r="E110" s="10" t="n">
        <v>10</v>
      </c>
      <c r="F110" s="10" t="n">
        <v>0</v>
      </c>
      <c r="G110" s="10" t="n">
        <v>42</v>
      </c>
      <c r="H110" s="11" t="n">
        <v>355.72</v>
      </c>
      <c r="I110" s="12" t="n">
        <v>10</v>
      </c>
    </row>
    <row r="111" customFormat="false" ht="15" hidden="false" customHeight="false" outlineLevel="0" collapsed="false">
      <c r="A111" s="14" t="s">
        <v>45</v>
      </c>
      <c r="B111" s="14" t="s">
        <v>71</v>
      </c>
      <c r="C111" s="14" t="s">
        <v>47</v>
      </c>
      <c r="D111" s="14" t="n">
        <v>0.25</v>
      </c>
      <c r="E111" s="14" t="n">
        <v>10</v>
      </c>
      <c r="F111" s="14" t="n">
        <v>1</v>
      </c>
      <c r="G111" s="14" t="n">
        <v>43</v>
      </c>
      <c r="H111" s="15" t="n">
        <v>355.72</v>
      </c>
      <c r="I111" s="16" t="n">
        <v>10</v>
      </c>
    </row>
    <row r="112" customFormat="false" ht="15" hidden="false" customHeight="false" outlineLevel="0" collapsed="false">
      <c r="A112" s="10" t="s">
        <v>45</v>
      </c>
      <c r="B112" s="10" t="s">
        <v>71</v>
      </c>
      <c r="C112" s="10" t="s">
        <v>47</v>
      </c>
      <c r="D112" s="10" t="n">
        <v>0.25</v>
      </c>
      <c r="E112" s="10" t="n">
        <v>10</v>
      </c>
      <c r="F112" s="10" t="n">
        <v>2</v>
      </c>
      <c r="G112" s="10" t="n">
        <v>44</v>
      </c>
      <c r="H112" s="11" t="n">
        <v>355.72</v>
      </c>
      <c r="I112" s="12" t="n">
        <v>10</v>
      </c>
    </row>
    <row r="113" customFormat="false" ht="15" hidden="false" customHeight="false" outlineLevel="0" collapsed="false">
      <c r="A113" s="14" t="s">
        <v>45</v>
      </c>
      <c r="B113" s="14" t="s">
        <v>71</v>
      </c>
      <c r="C113" s="14" t="s">
        <v>48</v>
      </c>
      <c r="D113" s="14" t="n">
        <v>0.25</v>
      </c>
      <c r="E113" s="14" t="n">
        <v>10</v>
      </c>
      <c r="F113" s="14" t="n">
        <v>0</v>
      </c>
      <c r="G113" s="14" t="n">
        <v>42</v>
      </c>
      <c r="H113" s="15" t="n">
        <v>355.5</v>
      </c>
      <c r="I113" s="16" t="n">
        <v>10</v>
      </c>
    </row>
    <row r="114" customFormat="false" ht="15" hidden="false" customHeight="false" outlineLevel="0" collapsed="false">
      <c r="A114" s="10" t="s">
        <v>45</v>
      </c>
      <c r="B114" s="10" t="s">
        <v>71</v>
      </c>
      <c r="C114" s="10" t="s">
        <v>48</v>
      </c>
      <c r="D114" s="10" t="n">
        <v>0.25</v>
      </c>
      <c r="E114" s="10" t="n">
        <v>10</v>
      </c>
      <c r="F114" s="10" t="n">
        <v>1</v>
      </c>
      <c r="G114" s="10" t="n">
        <v>43</v>
      </c>
      <c r="H114" s="11" t="n">
        <v>355.5</v>
      </c>
      <c r="I114" s="12" t="n">
        <v>10.001</v>
      </c>
    </row>
    <row r="115" customFormat="false" ht="15" hidden="false" customHeight="false" outlineLevel="0" collapsed="false">
      <c r="A115" s="14" t="s">
        <v>45</v>
      </c>
      <c r="B115" s="14" t="s">
        <v>71</v>
      </c>
      <c r="C115" s="14" t="s">
        <v>48</v>
      </c>
      <c r="D115" s="14" t="n">
        <v>0.25</v>
      </c>
      <c r="E115" s="14" t="n">
        <v>10</v>
      </c>
      <c r="F115" s="14" t="n">
        <v>2</v>
      </c>
      <c r="G115" s="14" t="n">
        <v>44</v>
      </c>
      <c r="H115" s="15" t="n">
        <v>355.5</v>
      </c>
      <c r="I115" s="16" t="n">
        <v>10.001</v>
      </c>
    </row>
    <row r="116" customFormat="false" ht="15" hidden="false" customHeight="false" outlineLevel="0" collapsed="false">
      <c r="A116" s="10" t="s">
        <v>45</v>
      </c>
      <c r="B116" s="10" t="s">
        <v>71</v>
      </c>
      <c r="C116" s="10" t="s">
        <v>49</v>
      </c>
      <c r="D116" s="10" t="n">
        <v>0.25</v>
      </c>
      <c r="E116" s="10" t="n">
        <v>10</v>
      </c>
      <c r="F116" s="10" t="n">
        <v>0</v>
      </c>
      <c r="G116" s="10" t="n">
        <v>42</v>
      </c>
      <c r="H116" s="11" t="n">
        <v>354.25</v>
      </c>
      <c r="I116" s="12" t="n">
        <v>10.001</v>
      </c>
    </row>
    <row r="117" customFormat="false" ht="15" hidden="false" customHeight="false" outlineLevel="0" collapsed="false">
      <c r="A117" s="14" t="s">
        <v>45</v>
      </c>
      <c r="B117" s="14" t="s">
        <v>71</v>
      </c>
      <c r="C117" s="14" t="s">
        <v>49</v>
      </c>
      <c r="D117" s="14" t="n">
        <v>0.25</v>
      </c>
      <c r="E117" s="14" t="n">
        <v>10</v>
      </c>
      <c r="F117" s="14" t="n">
        <v>1</v>
      </c>
      <c r="G117" s="14" t="n">
        <v>43</v>
      </c>
      <c r="H117" s="15" t="n">
        <v>354.25</v>
      </c>
      <c r="I117" s="16" t="n">
        <v>10</v>
      </c>
    </row>
    <row r="118" customFormat="false" ht="15" hidden="false" customHeight="false" outlineLevel="0" collapsed="false">
      <c r="A118" s="10" t="s">
        <v>45</v>
      </c>
      <c r="B118" s="10" t="s">
        <v>71</v>
      </c>
      <c r="C118" s="10" t="s">
        <v>49</v>
      </c>
      <c r="D118" s="10" t="n">
        <v>0.25</v>
      </c>
      <c r="E118" s="10" t="n">
        <v>10</v>
      </c>
      <c r="F118" s="10" t="n">
        <v>2</v>
      </c>
      <c r="G118" s="10" t="n">
        <v>44</v>
      </c>
      <c r="H118" s="11" t="n">
        <v>354.25</v>
      </c>
      <c r="I118" s="12" t="n">
        <v>10.001</v>
      </c>
    </row>
    <row r="119" customFormat="false" ht="15" hidden="false" customHeight="false" outlineLevel="0" collapsed="false">
      <c r="A119" s="14" t="s">
        <v>45</v>
      </c>
      <c r="B119" s="14" t="s">
        <v>71</v>
      </c>
      <c r="C119" s="14" t="s">
        <v>50</v>
      </c>
      <c r="D119" s="14" t="n">
        <v>0.25</v>
      </c>
      <c r="E119" s="14" t="n">
        <v>10</v>
      </c>
      <c r="F119" s="14" t="n">
        <v>0</v>
      </c>
      <c r="G119" s="14" t="n">
        <v>42</v>
      </c>
      <c r="H119" s="15" t="n">
        <v>356.06</v>
      </c>
      <c r="I119" s="16" t="n">
        <v>10.001</v>
      </c>
    </row>
    <row r="120" customFormat="false" ht="15" hidden="false" customHeight="false" outlineLevel="0" collapsed="false">
      <c r="A120" s="10" t="s">
        <v>45</v>
      </c>
      <c r="B120" s="10" t="s">
        <v>71</v>
      </c>
      <c r="C120" s="10" t="s">
        <v>50</v>
      </c>
      <c r="D120" s="10" t="n">
        <v>0.25</v>
      </c>
      <c r="E120" s="10" t="n">
        <v>10</v>
      </c>
      <c r="F120" s="10" t="n">
        <v>1</v>
      </c>
      <c r="G120" s="10" t="n">
        <v>43</v>
      </c>
      <c r="H120" s="11" t="n">
        <v>356.06</v>
      </c>
      <c r="I120" s="12" t="n">
        <v>10.001</v>
      </c>
    </row>
    <row r="121" customFormat="false" ht="15" hidden="false" customHeight="false" outlineLevel="0" collapsed="false">
      <c r="A121" s="14" t="s">
        <v>45</v>
      </c>
      <c r="B121" s="14" t="s">
        <v>71</v>
      </c>
      <c r="C121" s="14" t="s">
        <v>50</v>
      </c>
      <c r="D121" s="14" t="n">
        <v>0.25</v>
      </c>
      <c r="E121" s="14" t="n">
        <v>10</v>
      </c>
      <c r="F121" s="14" t="n">
        <v>2</v>
      </c>
      <c r="G121" s="14" t="n">
        <v>44</v>
      </c>
      <c r="H121" s="15" t="n">
        <v>356.06</v>
      </c>
      <c r="I121" s="16" t="n">
        <v>10</v>
      </c>
    </row>
    <row r="122" customFormat="false" ht="15" hidden="false" customHeight="false" outlineLevel="0" collapsed="false">
      <c r="A122" s="10" t="s">
        <v>45</v>
      </c>
      <c r="B122" s="10" t="s">
        <v>71</v>
      </c>
      <c r="C122" s="10" t="s">
        <v>46</v>
      </c>
      <c r="D122" s="10" t="n">
        <v>0.25</v>
      </c>
      <c r="E122" s="10" t="n">
        <v>15</v>
      </c>
      <c r="F122" s="10" t="n">
        <v>0</v>
      </c>
      <c r="G122" s="10" t="n">
        <v>42</v>
      </c>
      <c r="H122" s="11" t="n">
        <v>360.15</v>
      </c>
      <c r="I122" s="12" t="n">
        <v>10.001</v>
      </c>
    </row>
    <row r="123" customFormat="false" ht="15" hidden="false" customHeight="false" outlineLevel="0" collapsed="false">
      <c r="A123" s="14" t="s">
        <v>45</v>
      </c>
      <c r="B123" s="14" t="s">
        <v>71</v>
      </c>
      <c r="C123" s="14" t="s">
        <v>46</v>
      </c>
      <c r="D123" s="14" t="n">
        <v>0.25</v>
      </c>
      <c r="E123" s="14" t="n">
        <v>15</v>
      </c>
      <c r="F123" s="14" t="n">
        <v>1</v>
      </c>
      <c r="G123" s="14" t="n">
        <v>43</v>
      </c>
      <c r="H123" s="15" t="n">
        <v>360.15</v>
      </c>
      <c r="I123" s="16" t="n">
        <v>10.001</v>
      </c>
    </row>
    <row r="124" customFormat="false" ht="15" hidden="false" customHeight="false" outlineLevel="0" collapsed="false">
      <c r="A124" s="10" t="s">
        <v>45</v>
      </c>
      <c r="B124" s="10" t="s">
        <v>71</v>
      </c>
      <c r="C124" s="10" t="s">
        <v>46</v>
      </c>
      <c r="D124" s="10" t="n">
        <v>0.25</v>
      </c>
      <c r="E124" s="10" t="n">
        <v>15</v>
      </c>
      <c r="F124" s="10" t="n">
        <v>2</v>
      </c>
      <c r="G124" s="10" t="n">
        <v>44</v>
      </c>
      <c r="H124" s="11" t="n">
        <v>360.15</v>
      </c>
      <c r="I124" s="12" t="n">
        <v>10.001</v>
      </c>
    </row>
    <row r="125" customFormat="false" ht="15" hidden="false" customHeight="false" outlineLevel="0" collapsed="false">
      <c r="A125" s="14" t="s">
        <v>45</v>
      </c>
      <c r="B125" s="14" t="s">
        <v>71</v>
      </c>
      <c r="C125" s="14" t="s">
        <v>47</v>
      </c>
      <c r="D125" s="14" t="n">
        <v>0.25</v>
      </c>
      <c r="E125" s="14" t="n">
        <v>15</v>
      </c>
      <c r="F125" s="14" t="n">
        <v>0</v>
      </c>
      <c r="G125" s="14" t="n">
        <v>42</v>
      </c>
      <c r="H125" s="15" t="n">
        <v>355.72</v>
      </c>
      <c r="I125" s="16" t="n">
        <v>10</v>
      </c>
    </row>
    <row r="126" customFormat="false" ht="15" hidden="false" customHeight="false" outlineLevel="0" collapsed="false">
      <c r="A126" s="10" t="s">
        <v>45</v>
      </c>
      <c r="B126" s="10" t="s">
        <v>71</v>
      </c>
      <c r="C126" s="10" t="s">
        <v>47</v>
      </c>
      <c r="D126" s="10" t="n">
        <v>0.25</v>
      </c>
      <c r="E126" s="10" t="n">
        <v>15</v>
      </c>
      <c r="F126" s="10" t="n">
        <v>1</v>
      </c>
      <c r="G126" s="10" t="n">
        <v>43</v>
      </c>
      <c r="H126" s="11" t="n">
        <v>355.72</v>
      </c>
      <c r="I126" s="12" t="n">
        <v>10</v>
      </c>
    </row>
    <row r="127" customFormat="false" ht="15" hidden="false" customHeight="false" outlineLevel="0" collapsed="false">
      <c r="A127" s="14" t="s">
        <v>45</v>
      </c>
      <c r="B127" s="14" t="s">
        <v>71</v>
      </c>
      <c r="C127" s="14" t="s">
        <v>47</v>
      </c>
      <c r="D127" s="14" t="n">
        <v>0.25</v>
      </c>
      <c r="E127" s="14" t="n">
        <v>15</v>
      </c>
      <c r="F127" s="14" t="n">
        <v>2</v>
      </c>
      <c r="G127" s="14" t="n">
        <v>44</v>
      </c>
      <c r="H127" s="15" t="n">
        <v>355.72</v>
      </c>
      <c r="I127" s="16" t="n">
        <v>10.001</v>
      </c>
    </row>
    <row r="128" customFormat="false" ht="15" hidden="false" customHeight="false" outlineLevel="0" collapsed="false">
      <c r="A128" s="10" t="s">
        <v>45</v>
      </c>
      <c r="B128" s="10" t="s">
        <v>71</v>
      </c>
      <c r="C128" s="10" t="s">
        <v>48</v>
      </c>
      <c r="D128" s="10" t="n">
        <v>0.25</v>
      </c>
      <c r="E128" s="10" t="n">
        <v>15</v>
      </c>
      <c r="F128" s="10" t="n">
        <v>0</v>
      </c>
      <c r="G128" s="10" t="n">
        <v>42</v>
      </c>
      <c r="H128" s="11" t="n">
        <v>355.5</v>
      </c>
      <c r="I128" s="12" t="n">
        <v>10</v>
      </c>
    </row>
    <row r="129" customFormat="false" ht="15" hidden="false" customHeight="false" outlineLevel="0" collapsed="false">
      <c r="A129" s="14" t="s">
        <v>45</v>
      </c>
      <c r="B129" s="14" t="s">
        <v>71</v>
      </c>
      <c r="C129" s="14" t="s">
        <v>48</v>
      </c>
      <c r="D129" s="14" t="n">
        <v>0.25</v>
      </c>
      <c r="E129" s="14" t="n">
        <v>15</v>
      </c>
      <c r="F129" s="14" t="n">
        <v>1</v>
      </c>
      <c r="G129" s="14" t="n">
        <v>43</v>
      </c>
      <c r="H129" s="15" t="n">
        <v>355.5</v>
      </c>
      <c r="I129" s="16" t="n">
        <v>10.001</v>
      </c>
    </row>
    <row r="130" customFormat="false" ht="15" hidden="false" customHeight="false" outlineLevel="0" collapsed="false">
      <c r="A130" s="10" t="s">
        <v>45</v>
      </c>
      <c r="B130" s="10" t="s">
        <v>71</v>
      </c>
      <c r="C130" s="10" t="s">
        <v>48</v>
      </c>
      <c r="D130" s="10" t="n">
        <v>0.25</v>
      </c>
      <c r="E130" s="10" t="n">
        <v>15</v>
      </c>
      <c r="F130" s="10" t="n">
        <v>2</v>
      </c>
      <c r="G130" s="10" t="n">
        <v>44</v>
      </c>
      <c r="H130" s="11" t="n">
        <v>355.5</v>
      </c>
      <c r="I130" s="12" t="n">
        <v>10</v>
      </c>
    </row>
    <row r="131" customFormat="false" ht="15" hidden="false" customHeight="false" outlineLevel="0" collapsed="false">
      <c r="A131" s="14" t="s">
        <v>45</v>
      </c>
      <c r="B131" s="14" t="s">
        <v>71</v>
      </c>
      <c r="C131" s="14" t="s">
        <v>49</v>
      </c>
      <c r="D131" s="14" t="n">
        <v>0.25</v>
      </c>
      <c r="E131" s="14" t="n">
        <v>15</v>
      </c>
      <c r="F131" s="14" t="n">
        <v>0</v>
      </c>
      <c r="G131" s="14" t="n">
        <v>42</v>
      </c>
      <c r="H131" s="15" t="n">
        <v>354.25</v>
      </c>
      <c r="I131" s="16" t="n">
        <v>10.001</v>
      </c>
    </row>
    <row r="132" customFormat="false" ht="15" hidden="false" customHeight="false" outlineLevel="0" collapsed="false">
      <c r="A132" s="10" t="s">
        <v>45</v>
      </c>
      <c r="B132" s="10" t="s">
        <v>71</v>
      </c>
      <c r="C132" s="10" t="s">
        <v>49</v>
      </c>
      <c r="D132" s="10" t="n">
        <v>0.25</v>
      </c>
      <c r="E132" s="10" t="n">
        <v>15</v>
      </c>
      <c r="F132" s="10" t="n">
        <v>1</v>
      </c>
      <c r="G132" s="10" t="n">
        <v>43</v>
      </c>
      <c r="H132" s="11" t="n">
        <v>354.25</v>
      </c>
      <c r="I132" s="12" t="n">
        <v>10</v>
      </c>
    </row>
    <row r="133" customFormat="false" ht="15" hidden="false" customHeight="false" outlineLevel="0" collapsed="false">
      <c r="A133" s="14" t="s">
        <v>45</v>
      </c>
      <c r="B133" s="14" t="s">
        <v>71</v>
      </c>
      <c r="C133" s="14" t="s">
        <v>49</v>
      </c>
      <c r="D133" s="14" t="n">
        <v>0.25</v>
      </c>
      <c r="E133" s="14" t="n">
        <v>15</v>
      </c>
      <c r="F133" s="14" t="n">
        <v>2</v>
      </c>
      <c r="G133" s="14" t="n">
        <v>44</v>
      </c>
      <c r="H133" s="15" t="n">
        <v>354.25</v>
      </c>
      <c r="I133" s="16" t="n">
        <v>10</v>
      </c>
    </row>
    <row r="134" customFormat="false" ht="15" hidden="false" customHeight="false" outlineLevel="0" collapsed="false">
      <c r="A134" s="10" t="s">
        <v>45</v>
      </c>
      <c r="B134" s="10" t="s">
        <v>71</v>
      </c>
      <c r="C134" s="10" t="s">
        <v>50</v>
      </c>
      <c r="D134" s="10" t="n">
        <v>0.25</v>
      </c>
      <c r="E134" s="10" t="n">
        <v>15</v>
      </c>
      <c r="F134" s="10" t="n">
        <v>0</v>
      </c>
      <c r="G134" s="10" t="n">
        <v>42</v>
      </c>
      <c r="H134" s="11" t="n">
        <v>356.06</v>
      </c>
      <c r="I134" s="12" t="n">
        <v>10</v>
      </c>
    </row>
    <row r="135" customFormat="false" ht="15" hidden="false" customHeight="false" outlineLevel="0" collapsed="false">
      <c r="A135" s="14" t="s">
        <v>45</v>
      </c>
      <c r="B135" s="14" t="s">
        <v>71</v>
      </c>
      <c r="C135" s="14" t="s">
        <v>50</v>
      </c>
      <c r="D135" s="14" t="n">
        <v>0.25</v>
      </c>
      <c r="E135" s="14" t="n">
        <v>15</v>
      </c>
      <c r="F135" s="14" t="n">
        <v>1</v>
      </c>
      <c r="G135" s="14" t="n">
        <v>43</v>
      </c>
      <c r="H135" s="15" t="n">
        <v>356.06</v>
      </c>
      <c r="I135" s="16" t="n">
        <v>10.001</v>
      </c>
    </row>
    <row r="136" customFormat="false" ht="15" hidden="false" customHeight="false" outlineLevel="0" collapsed="false">
      <c r="A136" s="10" t="s">
        <v>45</v>
      </c>
      <c r="B136" s="10" t="s">
        <v>71</v>
      </c>
      <c r="C136" s="10" t="s">
        <v>50</v>
      </c>
      <c r="D136" s="10" t="n">
        <v>0.25</v>
      </c>
      <c r="E136" s="10" t="n">
        <v>15</v>
      </c>
      <c r="F136" s="10" t="n">
        <v>2</v>
      </c>
      <c r="G136" s="10" t="n">
        <v>44</v>
      </c>
      <c r="H136" s="11" t="n">
        <v>356.06</v>
      </c>
      <c r="I136" s="12" t="n">
        <v>10.001</v>
      </c>
    </row>
    <row r="137" customFormat="false" ht="15" hidden="false" customHeight="false" outlineLevel="0" collapsed="false">
      <c r="A137" s="14" t="s">
        <v>45</v>
      </c>
      <c r="B137" s="14" t="s">
        <v>71</v>
      </c>
      <c r="C137" s="14" t="s">
        <v>46</v>
      </c>
      <c r="D137" s="14" t="n">
        <v>0.25</v>
      </c>
      <c r="E137" s="14" t="n">
        <v>20</v>
      </c>
      <c r="F137" s="14" t="n">
        <v>0</v>
      </c>
      <c r="G137" s="14" t="n">
        <v>42</v>
      </c>
      <c r="H137" s="15" t="n">
        <v>360.15</v>
      </c>
      <c r="I137" s="16" t="n">
        <v>10</v>
      </c>
    </row>
    <row r="138" customFormat="false" ht="15" hidden="false" customHeight="false" outlineLevel="0" collapsed="false">
      <c r="A138" s="10" t="s">
        <v>45</v>
      </c>
      <c r="B138" s="10" t="s">
        <v>71</v>
      </c>
      <c r="C138" s="10" t="s">
        <v>46</v>
      </c>
      <c r="D138" s="10" t="n">
        <v>0.25</v>
      </c>
      <c r="E138" s="10" t="n">
        <v>20</v>
      </c>
      <c r="F138" s="10" t="n">
        <v>1</v>
      </c>
      <c r="G138" s="10" t="n">
        <v>43</v>
      </c>
      <c r="H138" s="11" t="n">
        <v>360.15</v>
      </c>
      <c r="I138" s="12" t="n">
        <v>10</v>
      </c>
    </row>
    <row r="139" customFormat="false" ht="15" hidden="false" customHeight="false" outlineLevel="0" collapsed="false">
      <c r="A139" s="14" t="s">
        <v>45</v>
      </c>
      <c r="B139" s="14" t="s">
        <v>71</v>
      </c>
      <c r="C139" s="14" t="s">
        <v>46</v>
      </c>
      <c r="D139" s="14" t="n">
        <v>0.25</v>
      </c>
      <c r="E139" s="14" t="n">
        <v>20</v>
      </c>
      <c r="F139" s="14" t="n">
        <v>2</v>
      </c>
      <c r="G139" s="14" t="n">
        <v>44</v>
      </c>
      <c r="H139" s="15" t="n">
        <v>360.15</v>
      </c>
      <c r="I139" s="16" t="n">
        <v>10</v>
      </c>
    </row>
    <row r="140" customFormat="false" ht="15" hidden="false" customHeight="false" outlineLevel="0" collapsed="false">
      <c r="A140" s="10" t="s">
        <v>45</v>
      </c>
      <c r="B140" s="10" t="s">
        <v>71</v>
      </c>
      <c r="C140" s="10" t="s">
        <v>47</v>
      </c>
      <c r="D140" s="10" t="n">
        <v>0.25</v>
      </c>
      <c r="E140" s="10" t="n">
        <v>20</v>
      </c>
      <c r="F140" s="10" t="n">
        <v>0</v>
      </c>
      <c r="G140" s="10" t="n">
        <v>42</v>
      </c>
      <c r="H140" s="11" t="n">
        <v>355.72</v>
      </c>
      <c r="I140" s="12" t="n">
        <v>10.001</v>
      </c>
    </row>
    <row r="141" customFormat="false" ht="15" hidden="false" customHeight="false" outlineLevel="0" collapsed="false">
      <c r="A141" s="14" t="s">
        <v>45</v>
      </c>
      <c r="B141" s="14" t="s">
        <v>71</v>
      </c>
      <c r="C141" s="14" t="s">
        <v>47</v>
      </c>
      <c r="D141" s="14" t="n">
        <v>0.25</v>
      </c>
      <c r="E141" s="14" t="n">
        <v>20</v>
      </c>
      <c r="F141" s="14" t="n">
        <v>1</v>
      </c>
      <c r="G141" s="14" t="n">
        <v>43</v>
      </c>
      <c r="H141" s="15" t="n">
        <v>355.72</v>
      </c>
      <c r="I141" s="16" t="n">
        <v>10.001</v>
      </c>
    </row>
    <row r="142" customFormat="false" ht="15" hidden="false" customHeight="false" outlineLevel="0" collapsed="false">
      <c r="A142" s="10" t="s">
        <v>45</v>
      </c>
      <c r="B142" s="10" t="s">
        <v>71</v>
      </c>
      <c r="C142" s="10" t="s">
        <v>47</v>
      </c>
      <c r="D142" s="10" t="n">
        <v>0.25</v>
      </c>
      <c r="E142" s="10" t="n">
        <v>20</v>
      </c>
      <c r="F142" s="10" t="n">
        <v>2</v>
      </c>
      <c r="G142" s="10" t="n">
        <v>44</v>
      </c>
      <c r="H142" s="11" t="n">
        <v>355.72</v>
      </c>
      <c r="I142" s="12" t="n">
        <v>10</v>
      </c>
    </row>
    <row r="143" customFormat="false" ht="15" hidden="false" customHeight="false" outlineLevel="0" collapsed="false">
      <c r="A143" s="14" t="s">
        <v>45</v>
      </c>
      <c r="B143" s="14" t="s">
        <v>71</v>
      </c>
      <c r="C143" s="14" t="s">
        <v>48</v>
      </c>
      <c r="D143" s="14" t="n">
        <v>0.25</v>
      </c>
      <c r="E143" s="14" t="n">
        <v>20</v>
      </c>
      <c r="F143" s="14" t="n">
        <v>0</v>
      </c>
      <c r="G143" s="14" t="n">
        <v>42</v>
      </c>
      <c r="H143" s="15" t="n">
        <v>355.5</v>
      </c>
      <c r="I143" s="16" t="n">
        <v>10.001</v>
      </c>
    </row>
    <row r="144" customFormat="false" ht="15" hidden="false" customHeight="false" outlineLevel="0" collapsed="false">
      <c r="A144" s="10" t="s">
        <v>45</v>
      </c>
      <c r="B144" s="10" t="s">
        <v>71</v>
      </c>
      <c r="C144" s="10" t="s">
        <v>48</v>
      </c>
      <c r="D144" s="10" t="n">
        <v>0.25</v>
      </c>
      <c r="E144" s="10" t="n">
        <v>20</v>
      </c>
      <c r="F144" s="10" t="n">
        <v>1</v>
      </c>
      <c r="G144" s="10" t="n">
        <v>43</v>
      </c>
      <c r="H144" s="11" t="n">
        <v>355.5</v>
      </c>
      <c r="I144" s="12" t="n">
        <v>10.001</v>
      </c>
    </row>
    <row r="145" customFormat="false" ht="15" hidden="false" customHeight="false" outlineLevel="0" collapsed="false">
      <c r="A145" s="14" t="s">
        <v>45</v>
      </c>
      <c r="B145" s="14" t="s">
        <v>71</v>
      </c>
      <c r="C145" s="14" t="s">
        <v>48</v>
      </c>
      <c r="D145" s="14" t="n">
        <v>0.25</v>
      </c>
      <c r="E145" s="14" t="n">
        <v>20</v>
      </c>
      <c r="F145" s="14" t="n">
        <v>2</v>
      </c>
      <c r="G145" s="14" t="n">
        <v>44</v>
      </c>
      <c r="H145" s="15" t="n">
        <v>355.5</v>
      </c>
      <c r="I145" s="16" t="n">
        <v>10.001</v>
      </c>
    </row>
    <row r="146" customFormat="false" ht="15" hidden="false" customHeight="false" outlineLevel="0" collapsed="false">
      <c r="A146" s="10" t="s">
        <v>45</v>
      </c>
      <c r="B146" s="10" t="s">
        <v>71</v>
      </c>
      <c r="C146" s="10" t="s">
        <v>49</v>
      </c>
      <c r="D146" s="10" t="n">
        <v>0.25</v>
      </c>
      <c r="E146" s="10" t="n">
        <v>20</v>
      </c>
      <c r="F146" s="10" t="n">
        <v>0</v>
      </c>
      <c r="G146" s="10" t="n">
        <v>42</v>
      </c>
      <c r="H146" s="11" t="n">
        <v>354.25</v>
      </c>
      <c r="I146" s="12" t="n">
        <v>10</v>
      </c>
    </row>
    <row r="147" customFormat="false" ht="15" hidden="false" customHeight="false" outlineLevel="0" collapsed="false">
      <c r="A147" s="14" t="s">
        <v>45</v>
      </c>
      <c r="B147" s="14" t="s">
        <v>71</v>
      </c>
      <c r="C147" s="14" t="s">
        <v>49</v>
      </c>
      <c r="D147" s="14" t="n">
        <v>0.25</v>
      </c>
      <c r="E147" s="14" t="n">
        <v>20</v>
      </c>
      <c r="F147" s="14" t="n">
        <v>1</v>
      </c>
      <c r="G147" s="14" t="n">
        <v>43</v>
      </c>
      <c r="H147" s="15" t="n">
        <v>354.25</v>
      </c>
      <c r="I147" s="16" t="n">
        <v>10</v>
      </c>
    </row>
    <row r="148" customFormat="false" ht="15" hidden="false" customHeight="false" outlineLevel="0" collapsed="false">
      <c r="A148" s="10" t="s">
        <v>45</v>
      </c>
      <c r="B148" s="10" t="s">
        <v>71</v>
      </c>
      <c r="C148" s="10" t="s">
        <v>49</v>
      </c>
      <c r="D148" s="10" t="n">
        <v>0.25</v>
      </c>
      <c r="E148" s="10" t="n">
        <v>20</v>
      </c>
      <c r="F148" s="10" t="n">
        <v>2</v>
      </c>
      <c r="G148" s="10" t="n">
        <v>44</v>
      </c>
      <c r="H148" s="11" t="n">
        <v>354.25</v>
      </c>
      <c r="I148" s="12" t="n">
        <v>10.001</v>
      </c>
    </row>
    <row r="149" customFormat="false" ht="15" hidden="false" customHeight="false" outlineLevel="0" collapsed="false">
      <c r="A149" s="14" t="s">
        <v>45</v>
      </c>
      <c r="B149" s="14" t="s">
        <v>71</v>
      </c>
      <c r="C149" s="14" t="s">
        <v>50</v>
      </c>
      <c r="D149" s="14" t="n">
        <v>0.25</v>
      </c>
      <c r="E149" s="14" t="n">
        <v>20</v>
      </c>
      <c r="F149" s="14" t="n">
        <v>0</v>
      </c>
      <c r="G149" s="14" t="n">
        <v>42</v>
      </c>
      <c r="H149" s="15" t="n">
        <v>356.06</v>
      </c>
      <c r="I149" s="16" t="n">
        <v>10</v>
      </c>
    </row>
    <row r="150" customFormat="false" ht="15" hidden="false" customHeight="false" outlineLevel="0" collapsed="false">
      <c r="A150" s="10" t="s">
        <v>45</v>
      </c>
      <c r="B150" s="10" t="s">
        <v>71</v>
      </c>
      <c r="C150" s="10" t="s">
        <v>50</v>
      </c>
      <c r="D150" s="10" t="n">
        <v>0.25</v>
      </c>
      <c r="E150" s="10" t="n">
        <v>20</v>
      </c>
      <c r="F150" s="10" t="n">
        <v>1</v>
      </c>
      <c r="G150" s="10" t="n">
        <v>43</v>
      </c>
      <c r="H150" s="11" t="n">
        <v>356.06</v>
      </c>
      <c r="I150" s="12" t="n">
        <v>10.001</v>
      </c>
    </row>
    <row r="151" customFormat="false" ht="15" hidden="false" customHeight="false" outlineLevel="0" collapsed="false">
      <c r="A151" s="14" t="s">
        <v>45</v>
      </c>
      <c r="B151" s="14" t="s">
        <v>71</v>
      </c>
      <c r="C151" s="14" t="s">
        <v>50</v>
      </c>
      <c r="D151" s="14" t="n">
        <v>0.25</v>
      </c>
      <c r="E151" s="14" t="n">
        <v>20</v>
      </c>
      <c r="F151" s="14" t="n">
        <v>2</v>
      </c>
      <c r="G151" s="14" t="n">
        <v>44</v>
      </c>
      <c r="H151" s="15" t="n">
        <v>356.06</v>
      </c>
      <c r="I151" s="16" t="n">
        <v>10.001</v>
      </c>
    </row>
    <row r="152" customFormat="false" ht="15" hidden="false" customHeight="false" outlineLevel="0" collapsed="false">
      <c r="A152" s="10" t="s">
        <v>45</v>
      </c>
      <c r="B152" s="10" t="s">
        <v>71</v>
      </c>
      <c r="C152" s="10" t="s">
        <v>46</v>
      </c>
      <c r="D152" s="10" t="n">
        <v>0.25</v>
      </c>
      <c r="E152" s="10" t="n">
        <v>25</v>
      </c>
      <c r="F152" s="10" t="n">
        <v>0</v>
      </c>
      <c r="G152" s="10" t="n">
        <v>42</v>
      </c>
      <c r="H152" s="11" t="n">
        <v>360.15</v>
      </c>
      <c r="I152" s="12" t="n">
        <v>10.001</v>
      </c>
    </row>
    <row r="153" customFormat="false" ht="15" hidden="false" customHeight="false" outlineLevel="0" collapsed="false">
      <c r="A153" s="14" t="s">
        <v>45</v>
      </c>
      <c r="B153" s="14" t="s">
        <v>71</v>
      </c>
      <c r="C153" s="14" t="s">
        <v>46</v>
      </c>
      <c r="D153" s="14" t="n">
        <v>0.25</v>
      </c>
      <c r="E153" s="14" t="n">
        <v>25</v>
      </c>
      <c r="F153" s="14" t="n">
        <v>1</v>
      </c>
      <c r="G153" s="14" t="n">
        <v>43</v>
      </c>
      <c r="H153" s="15" t="n">
        <v>360.15</v>
      </c>
      <c r="I153" s="16" t="n">
        <v>10.001</v>
      </c>
    </row>
    <row r="154" customFormat="false" ht="15" hidden="false" customHeight="false" outlineLevel="0" collapsed="false">
      <c r="A154" s="10" t="s">
        <v>45</v>
      </c>
      <c r="B154" s="10" t="s">
        <v>71</v>
      </c>
      <c r="C154" s="10" t="s">
        <v>46</v>
      </c>
      <c r="D154" s="10" t="n">
        <v>0.25</v>
      </c>
      <c r="E154" s="10" t="n">
        <v>25</v>
      </c>
      <c r="F154" s="10" t="n">
        <v>2</v>
      </c>
      <c r="G154" s="10" t="n">
        <v>44</v>
      </c>
      <c r="H154" s="11" t="n">
        <v>360.15</v>
      </c>
      <c r="I154" s="12" t="n">
        <v>10</v>
      </c>
    </row>
    <row r="155" customFormat="false" ht="15" hidden="false" customHeight="false" outlineLevel="0" collapsed="false">
      <c r="A155" s="14" t="s">
        <v>45</v>
      </c>
      <c r="B155" s="14" t="s">
        <v>71</v>
      </c>
      <c r="C155" s="14" t="s">
        <v>47</v>
      </c>
      <c r="D155" s="14" t="n">
        <v>0.25</v>
      </c>
      <c r="E155" s="14" t="n">
        <v>25</v>
      </c>
      <c r="F155" s="14" t="n">
        <v>0</v>
      </c>
      <c r="G155" s="14" t="n">
        <v>42</v>
      </c>
      <c r="H155" s="15" t="n">
        <v>355.72</v>
      </c>
      <c r="I155" s="16" t="n">
        <v>10.001</v>
      </c>
    </row>
    <row r="156" customFormat="false" ht="15" hidden="false" customHeight="false" outlineLevel="0" collapsed="false">
      <c r="A156" s="10" t="s">
        <v>45</v>
      </c>
      <c r="B156" s="10" t="s">
        <v>71</v>
      </c>
      <c r="C156" s="10" t="s">
        <v>47</v>
      </c>
      <c r="D156" s="10" t="n">
        <v>0.25</v>
      </c>
      <c r="E156" s="10" t="n">
        <v>25</v>
      </c>
      <c r="F156" s="10" t="n">
        <v>1</v>
      </c>
      <c r="G156" s="10" t="n">
        <v>43</v>
      </c>
      <c r="H156" s="11" t="n">
        <v>355.72</v>
      </c>
      <c r="I156" s="12" t="n">
        <v>10</v>
      </c>
    </row>
    <row r="157" customFormat="false" ht="15" hidden="false" customHeight="false" outlineLevel="0" collapsed="false">
      <c r="A157" s="14" t="s">
        <v>45</v>
      </c>
      <c r="B157" s="14" t="s">
        <v>71</v>
      </c>
      <c r="C157" s="14" t="s">
        <v>47</v>
      </c>
      <c r="D157" s="14" t="n">
        <v>0.25</v>
      </c>
      <c r="E157" s="14" t="n">
        <v>25</v>
      </c>
      <c r="F157" s="14" t="n">
        <v>2</v>
      </c>
      <c r="G157" s="14" t="n">
        <v>44</v>
      </c>
      <c r="H157" s="15" t="n">
        <v>355.72</v>
      </c>
      <c r="I157" s="16" t="n">
        <v>10.001</v>
      </c>
    </row>
    <row r="158" customFormat="false" ht="15" hidden="false" customHeight="false" outlineLevel="0" collapsed="false">
      <c r="A158" s="10" t="s">
        <v>45</v>
      </c>
      <c r="B158" s="10" t="s">
        <v>71</v>
      </c>
      <c r="C158" s="10" t="s">
        <v>48</v>
      </c>
      <c r="D158" s="10" t="n">
        <v>0.25</v>
      </c>
      <c r="E158" s="10" t="n">
        <v>25</v>
      </c>
      <c r="F158" s="10" t="n">
        <v>0</v>
      </c>
      <c r="G158" s="10" t="n">
        <v>42</v>
      </c>
      <c r="H158" s="11" t="n">
        <v>355.5</v>
      </c>
      <c r="I158" s="12" t="n">
        <v>10.001</v>
      </c>
    </row>
    <row r="159" customFormat="false" ht="15" hidden="false" customHeight="false" outlineLevel="0" collapsed="false">
      <c r="A159" s="14" t="s">
        <v>45</v>
      </c>
      <c r="B159" s="14" t="s">
        <v>71</v>
      </c>
      <c r="C159" s="14" t="s">
        <v>48</v>
      </c>
      <c r="D159" s="14" t="n">
        <v>0.25</v>
      </c>
      <c r="E159" s="14" t="n">
        <v>25</v>
      </c>
      <c r="F159" s="14" t="n">
        <v>1</v>
      </c>
      <c r="G159" s="14" t="n">
        <v>43</v>
      </c>
      <c r="H159" s="15" t="n">
        <v>355.5</v>
      </c>
      <c r="I159" s="16" t="n">
        <v>10</v>
      </c>
    </row>
    <row r="160" customFormat="false" ht="15" hidden="false" customHeight="false" outlineLevel="0" collapsed="false">
      <c r="A160" s="10" t="s">
        <v>45</v>
      </c>
      <c r="B160" s="10" t="s">
        <v>71</v>
      </c>
      <c r="C160" s="10" t="s">
        <v>48</v>
      </c>
      <c r="D160" s="10" t="n">
        <v>0.25</v>
      </c>
      <c r="E160" s="10" t="n">
        <v>25</v>
      </c>
      <c r="F160" s="10" t="n">
        <v>2</v>
      </c>
      <c r="G160" s="10" t="n">
        <v>44</v>
      </c>
      <c r="H160" s="11" t="n">
        <v>355.5</v>
      </c>
      <c r="I160" s="12" t="n">
        <v>10.001</v>
      </c>
    </row>
    <row r="161" customFormat="false" ht="15" hidden="false" customHeight="false" outlineLevel="0" collapsed="false">
      <c r="A161" s="14" t="s">
        <v>45</v>
      </c>
      <c r="B161" s="14" t="s">
        <v>71</v>
      </c>
      <c r="C161" s="14" t="s">
        <v>49</v>
      </c>
      <c r="D161" s="14" t="n">
        <v>0.25</v>
      </c>
      <c r="E161" s="14" t="n">
        <v>25</v>
      </c>
      <c r="F161" s="14" t="n">
        <v>0</v>
      </c>
      <c r="G161" s="14" t="n">
        <v>42</v>
      </c>
      <c r="H161" s="15" t="n">
        <v>354.25</v>
      </c>
      <c r="I161" s="16" t="n">
        <v>10.001</v>
      </c>
    </row>
    <row r="162" customFormat="false" ht="15" hidden="false" customHeight="false" outlineLevel="0" collapsed="false">
      <c r="A162" s="10" t="s">
        <v>45</v>
      </c>
      <c r="B162" s="10" t="s">
        <v>71</v>
      </c>
      <c r="C162" s="10" t="s">
        <v>49</v>
      </c>
      <c r="D162" s="10" t="n">
        <v>0.25</v>
      </c>
      <c r="E162" s="10" t="n">
        <v>25</v>
      </c>
      <c r="F162" s="10" t="n">
        <v>1</v>
      </c>
      <c r="G162" s="10" t="n">
        <v>43</v>
      </c>
      <c r="H162" s="11" t="n">
        <v>354.25</v>
      </c>
      <c r="I162" s="12" t="n">
        <v>10.001</v>
      </c>
    </row>
    <row r="163" customFormat="false" ht="15" hidden="false" customHeight="false" outlineLevel="0" collapsed="false">
      <c r="A163" s="14" t="s">
        <v>45</v>
      </c>
      <c r="B163" s="14" t="s">
        <v>71</v>
      </c>
      <c r="C163" s="14" t="s">
        <v>49</v>
      </c>
      <c r="D163" s="14" t="n">
        <v>0.25</v>
      </c>
      <c r="E163" s="14" t="n">
        <v>25</v>
      </c>
      <c r="F163" s="14" t="n">
        <v>2</v>
      </c>
      <c r="G163" s="14" t="n">
        <v>44</v>
      </c>
      <c r="H163" s="15" t="n">
        <v>354.25</v>
      </c>
      <c r="I163" s="16" t="n">
        <v>10</v>
      </c>
    </row>
    <row r="164" customFormat="false" ht="15" hidden="false" customHeight="false" outlineLevel="0" collapsed="false">
      <c r="A164" s="10" t="s">
        <v>45</v>
      </c>
      <c r="B164" s="10" t="s">
        <v>71</v>
      </c>
      <c r="C164" s="10" t="s">
        <v>50</v>
      </c>
      <c r="D164" s="10" t="n">
        <v>0.25</v>
      </c>
      <c r="E164" s="10" t="n">
        <v>25</v>
      </c>
      <c r="F164" s="10" t="n">
        <v>0</v>
      </c>
      <c r="G164" s="10" t="n">
        <v>42</v>
      </c>
      <c r="H164" s="11" t="n">
        <v>356.06</v>
      </c>
      <c r="I164" s="12" t="n">
        <v>10</v>
      </c>
    </row>
    <row r="165" customFormat="false" ht="15" hidden="false" customHeight="false" outlineLevel="0" collapsed="false">
      <c r="A165" s="14" t="s">
        <v>45</v>
      </c>
      <c r="B165" s="14" t="s">
        <v>71</v>
      </c>
      <c r="C165" s="14" t="s">
        <v>50</v>
      </c>
      <c r="D165" s="14" t="n">
        <v>0.25</v>
      </c>
      <c r="E165" s="14" t="n">
        <v>25</v>
      </c>
      <c r="F165" s="14" t="n">
        <v>1</v>
      </c>
      <c r="G165" s="14" t="n">
        <v>43</v>
      </c>
      <c r="H165" s="15" t="n">
        <v>352.59</v>
      </c>
      <c r="I165" s="16" t="n">
        <v>10.001</v>
      </c>
    </row>
    <row r="166" customFormat="false" ht="15" hidden="false" customHeight="false" outlineLevel="0" collapsed="false">
      <c r="A166" s="10" t="s">
        <v>45</v>
      </c>
      <c r="B166" s="10" t="s">
        <v>71</v>
      </c>
      <c r="C166" s="10" t="s">
        <v>50</v>
      </c>
      <c r="D166" s="10" t="n">
        <v>0.25</v>
      </c>
      <c r="E166" s="10" t="n">
        <v>25</v>
      </c>
      <c r="F166" s="10" t="n">
        <v>2</v>
      </c>
      <c r="G166" s="10" t="n">
        <v>44</v>
      </c>
      <c r="H166" s="11" t="n">
        <v>356.06</v>
      </c>
      <c r="I166" s="12" t="n">
        <v>10.001</v>
      </c>
    </row>
    <row r="167" customFormat="false" ht="15" hidden="false" customHeight="false" outlineLevel="0" collapsed="false">
      <c r="A167" s="14" t="s">
        <v>45</v>
      </c>
      <c r="B167" s="14" t="s">
        <v>71</v>
      </c>
      <c r="C167" s="14" t="s">
        <v>46</v>
      </c>
      <c r="D167" s="14" t="n">
        <v>0.25</v>
      </c>
      <c r="E167" s="14" t="n">
        <v>30</v>
      </c>
      <c r="F167" s="14" t="n">
        <v>0</v>
      </c>
      <c r="G167" s="14" t="n">
        <v>42</v>
      </c>
      <c r="H167" s="15" t="n">
        <v>360.15</v>
      </c>
      <c r="I167" s="16" t="n">
        <v>10</v>
      </c>
    </row>
    <row r="168" customFormat="false" ht="15" hidden="false" customHeight="false" outlineLevel="0" collapsed="false">
      <c r="A168" s="10" t="s">
        <v>45</v>
      </c>
      <c r="B168" s="10" t="s">
        <v>71</v>
      </c>
      <c r="C168" s="10" t="s">
        <v>46</v>
      </c>
      <c r="D168" s="10" t="n">
        <v>0.25</v>
      </c>
      <c r="E168" s="10" t="n">
        <v>30</v>
      </c>
      <c r="F168" s="10" t="n">
        <v>1</v>
      </c>
      <c r="G168" s="10" t="n">
        <v>43</v>
      </c>
      <c r="H168" s="11" t="n">
        <v>360.15</v>
      </c>
      <c r="I168" s="12" t="n">
        <v>10.001</v>
      </c>
    </row>
    <row r="169" customFormat="false" ht="15" hidden="false" customHeight="false" outlineLevel="0" collapsed="false">
      <c r="A169" s="14" t="s">
        <v>45</v>
      </c>
      <c r="B169" s="14" t="s">
        <v>71</v>
      </c>
      <c r="C169" s="14" t="s">
        <v>46</v>
      </c>
      <c r="D169" s="14" t="n">
        <v>0.25</v>
      </c>
      <c r="E169" s="14" t="n">
        <v>30</v>
      </c>
      <c r="F169" s="14" t="n">
        <v>2</v>
      </c>
      <c r="G169" s="14" t="n">
        <v>44</v>
      </c>
      <c r="H169" s="15" t="n">
        <v>360.15</v>
      </c>
      <c r="I169" s="16" t="n">
        <v>10</v>
      </c>
    </row>
    <row r="170" customFormat="false" ht="15" hidden="false" customHeight="false" outlineLevel="0" collapsed="false">
      <c r="A170" s="10" t="s">
        <v>45</v>
      </c>
      <c r="B170" s="10" t="s">
        <v>71</v>
      </c>
      <c r="C170" s="10" t="s">
        <v>47</v>
      </c>
      <c r="D170" s="10" t="n">
        <v>0.25</v>
      </c>
      <c r="E170" s="10" t="n">
        <v>30</v>
      </c>
      <c r="F170" s="10" t="n">
        <v>0</v>
      </c>
      <c r="G170" s="10" t="n">
        <v>42</v>
      </c>
      <c r="H170" s="11" t="n">
        <v>355.72</v>
      </c>
      <c r="I170" s="12" t="n">
        <v>10.001</v>
      </c>
    </row>
    <row r="171" customFormat="false" ht="15" hidden="false" customHeight="false" outlineLevel="0" collapsed="false">
      <c r="A171" s="14" t="s">
        <v>45</v>
      </c>
      <c r="B171" s="14" t="s">
        <v>71</v>
      </c>
      <c r="C171" s="14" t="s">
        <v>47</v>
      </c>
      <c r="D171" s="14" t="n">
        <v>0.25</v>
      </c>
      <c r="E171" s="14" t="n">
        <v>30</v>
      </c>
      <c r="F171" s="14" t="n">
        <v>1</v>
      </c>
      <c r="G171" s="14" t="n">
        <v>43</v>
      </c>
      <c r="H171" s="15" t="n">
        <v>355.72</v>
      </c>
      <c r="I171" s="16" t="n">
        <v>10</v>
      </c>
    </row>
    <row r="172" customFormat="false" ht="15" hidden="false" customHeight="false" outlineLevel="0" collapsed="false">
      <c r="A172" s="10" t="s">
        <v>45</v>
      </c>
      <c r="B172" s="10" t="s">
        <v>71</v>
      </c>
      <c r="C172" s="10" t="s">
        <v>47</v>
      </c>
      <c r="D172" s="10" t="n">
        <v>0.25</v>
      </c>
      <c r="E172" s="10" t="n">
        <v>30</v>
      </c>
      <c r="F172" s="10" t="n">
        <v>2</v>
      </c>
      <c r="G172" s="10" t="n">
        <v>44</v>
      </c>
      <c r="H172" s="11" t="n">
        <v>355.72</v>
      </c>
      <c r="I172" s="12" t="n">
        <v>10</v>
      </c>
    </row>
    <row r="173" customFormat="false" ht="15" hidden="false" customHeight="false" outlineLevel="0" collapsed="false">
      <c r="A173" s="14" t="s">
        <v>45</v>
      </c>
      <c r="B173" s="14" t="s">
        <v>71</v>
      </c>
      <c r="C173" s="14" t="s">
        <v>48</v>
      </c>
      <c r="D173" s="14" t="n">
        <v>0.25</v>
      </c>
      <c r="E173" s="14" t="n">
        <v>30</v>
      </c>
      <c r="F173" s="14" t="n">
        <v>0</v>
      </c>
      <c r="G173" s="14" t="n">
        <v>42</v>
      </c>
      <c r="H173" s="15" t="n">
        <v>355.5</v>
      </c>
      <c r="I173" s="16" t="n">
        <v>10.001</v>
      </c>
    </row>
    <row r="174" customFormat="false" ht="15" hidden="false" customHeight="false" outlineLevel="0" collapsed="false">
      <c r="A174" s="10" t="s">
        <v>45</v>
      </c>
      <c r="B174" s="10" t="s">
        <v>71</v>
      </c>
      <c r="C174" s="10" t="s">
        <v>48</v>
      </c>
      <c r="D174" s="10" t="n">
        <v>0.25</v>
      </c>
      <c r="E174" s="10" t="n">
        <v>30</v>
      </c>
      <c r="F174" s="10" t="n">
        <v>1</v>
      </c>
      <c r="G174" s="10" t="n">
        <v>43</v>
      </c>
      <c r="H174" s="11" t="n">
        <v>355.5</v>
      </c>
      <c r="I174" s="12" t="n">
        <v>10</v>
      </c>
    </row>
    <row r="175" customFormat="false" ht="15" hidden="false" customHeight="false" outlineLevel="0" collapsed="false">
      <c r="A175" s="14" t="s">
        <v>45</v>
      </c>
      <c r="B175" s="14" t="s">
        <v>71</v>
      </c>
      <c r="C175" s="14" t="s">
        <v>48</v>
      </c>
      <c r="D175" s="14" t="n">
        <v>0.25</v>
      </c>
      <c r="E175" s="14" t="n">
        <v>30</v>
      </c>
      <c r="F175" s="14" t="n">
        <v>2</v>
      </c>
      <c r="G175" s="14" t="n">
        <v>44</v>
      </c>
      <c r="H175" s="15" t="n">
        <v>355.5</v>
      </c>
      <c r="I175" s="16" t="n">
        <v>10.001</v>
      </c>
    </row>
    <row r="176" customFormat="false" ht="15" hidden="false" customHeight="false" outlineLevel="0" collapsed="false">
      <c r="A176" s="10" t="s">
        <v>45</v>
      </c>
      <c r="B176" s="10" t="s">
        <v>71</v>
      </c>
      <c r="C176" s="10" t="s">
        <v>49</v>
      </c>
      <c r="D176" s="10" t="n">
        <v>0.25</v>
      </c>
      <c r="E176" s="10" t="n">
        <v>30</v>
      </c>
      <c r="F176" s="10" t="n">
        <v>0</v>
      </c>
      <c r="G176" s="10" t="n">
        <v>42</v>
      </c>
      <c r="H176" s="11" t="n">
        <v>354.25</v>
      </c>
      <c r="I176" s="12" t="n">
        <v>10</v>
      </c>
    </row>
    <row r="177" customFormat="false" ht="15" hidden="false" customHeight="false" outlineLevel="0" collapsed="false">
      <c r="A177" s="14" t="s">
        <v>45</v>
      </c>
      <c r="B177" s="14" t="s">
        <v>71</v>
      </c>
      <c r="C177" s="14" t="s">
        <v>49</v>
      </c>
      <c r="D177" s="14" t="n">
        <v>0.25</v>
      </c>
      <c r="E177" s="14" t="n">
        <v>30</v>
      </c>
      <c r="F177" s="14" t="n">
        <v>1</v>
      </c>
      <c r="G177" s="14" t="n">
        <v>43</v>
      </c>
      <c r="H177" s="15" t="n">
        <v>354.25</v>
      </c>
      <c r="I177" s="16" t="n">
        <v>10</v>
      </c>
    </row>
    <row r="178" customFormat="false" ht="15" hidden="false" customHeight="false" outlineLevel="0" collapsed="false">
      <c r="A178" s="10" t="s">
        <v>45</v>
      </c>
      <c r="B178" s="10" t="s">
        <v>71</v>
      </c>
      <c r="C178" s="10" t="s">
        <v>49</v>
      </c>
      <c r="D178" s="10" t="n">
        <v>0.25</v>
      </c>
      <c r="E178" s="10" t="n">
        <v>30</v>
      </c>
      <c r="F178" s="10" t="n">
        <v>2</v>
      </c>
      <c r="G178" s="10" t="n">
        <v>44</v>
      </c>
      <c r="H178" s="11" t="n">
        <v>354.25</v>
      </c>
      <c r="I178" s="12" t="n">
        <v>10.001</v>
      </c>
    </row>
    <row r="179" customFormat="false" ht="15" hidden="false" customHeight="false" outlineLevel="0" collapsed="false">
      <c r="A179" s="14" t="s">
        <v>45</v>
      </c>
      <c r="B179" s="14" t="s">
        <v>71</v>
      </c>
      <c r="C179" s="14" t="s">
        <v>50</v>
      </c>
      <c r="D179" s="14" t="n">
        <v>0.25</v>
      </c>
      <c r="E179" s="14" t="n">
        <v>30</v>
      </c>
      <c r="F179" s="14" t="n">
        <v>0</v>
      </c>
      <c r="G179" s="14" t="n">
        <v>42</v>
      </c>
      <c r="H179" s="15" t="n">
        <v>356.06</v>
      </c>
      <c r="I179" s="16" t="n">
        <v>10.001</v>
      </c>
    </row>
    <row r="180" customFormat="false" ht="15" hidden="false" customHeight="false" outlineLevel="0" collapsed="false">
      <c r="A180" s="10" t="s">
        <v>45</v>
      </c>
      <c r="B180" s="10" t="s">
        <v>71</v>
      </c>
      <c r="C180" s="10" t="s">
        <v>50</v>
      </c>
      <c r="D180" s="10" t="n">
        <v>0.25</v>
      </c>
      <c r="E180" s="10" t="n">
        <v>30</v>
      </c>
      <c r="F180" s="10" t="n">
        <v>1</v>
      </c>
      <c r="G180" s="10" t="n">
        <v>43</v>
      </c>
      <c r="H180" s="11" t="n">
        <v>356.06</v>
      </c>
      <c r="I180" s="12" t="n">
        <v>10.001</v>
      </c>
    </row>
    <row r="181" customFormat="false" ht="15" hidden="false" customHeight="false" outlineLevel="0" collapsed="false">
      <c r="A181" s="14" t="s">
        <v>45</v>
      </c>
      <c r="B181" s="14" t="s">
        <v>71</v>
      </c>
      <c r="C181" s="14" t="s">
        <v>50</v>
      </c>
      <c r="D181" s="14" t="n">
        <v>0.25</v>
      </c>
      <c r="E181" s="14" t="n">
        <v>30</v>
      </c>
      <c r="F181" s="14" t="n">
        <v>2</v>
      </c>
      <c r="G181" s="14" t="n">
        <v>44</v>
      </c>
      <c r="H181" s="15" t="n">
        <v>356.06</v>
      </c>
      <c r="I181" s="16" t="n">
        <v>10</v>
      </c>
    </row>
    <row r="182" customFormat="false" ht="15" hidden="false" customHeight="false" outlineLevel="0" collapsed="false">
      <c r="A182" s="10" t="s">
        <v>52</v>
      </c>
      <c r="B182" s="10" t="s">
        <v>70</v>
      </c>
      <c r="C182" s="10" t="s">
        <v>53</v>
      </c>
      <c r="D182" s="10" t="n">
        <v>0.1</v>
      </c>
      <c r="E182" s="10" t="n">
        <v>15</v>
      </c>
      <c r="F182" s="10" t="n">
        <v>0</v>
      </c>
      <c r="G182" s="10" t="n">
        <v>42</v>
      </c>
      <c r="H182" s="11" t="n">
        <v>7720.25</v>
      </c>
      <c r="I182" s="12" t="n">
        <v>10.023</v>
      </c>
    </row>
    <row r="183" customFormat="false" ht="15" hidden="false" customHeight="false" outlineLevel="0" collapsed="false">
      <c r="A183" s="14" t="s">
        <v>52</v>
      </c>
      <c r="B183" s="14" t="s">
        <v>70</v>
      </c>
      <c r="C183" s="14" t="s">
        <v>53</v>
      </c>
      <c r="D183" s="14" t="n">
        <v>0.1</v>
      </c>
      <c r="E183" s="14" t="n">
        <v>15</v>
      </c>
      <c r="F183" s="14" t="n">
        <v>1</v>
      </c>
      <c r="G183" s="14" t="n">
        <v>43</v>
      </c>
      <c r="H183" s="15" t="n">
        <v>7656.42</v>
      </c>
      <c r="I183" s="16" t="n">
        <v>10.015</v>
      </c>
    </row>
    <row r="184" customFormat="false" ht="15" hidden="false" customHeight="false" outlineLevel="0" collapsed="false">
      <c r="A184" s="10" t="s">
        <v>52</v>
      </c>
      <c r="B184" s="10" t="s">
        <v>70</v>
      </c>
      <c r="C184" s="10" t="s">
        <v>53</v>
      </c>
      <c r="D184" s="10" t="n">
        <v>0.1</v>
      </c>
      <c r="E184" s="10" t="n">
        <v>15</v>
      </c>
      <c r="F184" s="10" t="n">
        <v>2</v>
      </c>
      <c r="G184" s="10" t="n">
        <v>44</v>
      </c>
      <c r="H184" s="11" t="n">
        <v>7642.02</v>
      </c>
      <c r="I184" s="12" t="n">
        <v>10.032</v>
      </c>
    </row>
    <row r="185" customFormat="false" ht="15" hidden="false" customHeight="false" outlineLevel="0" collapsed="false">
      <c r="A185" s="14" t="s">
        <v>52</v>
      </c>
      <c r="B185" s="14" t="s">
        <v>70</v>
      </c>
      <c r="C185" s="14" t="s">
        <v>54</v>
      </c>
      <c r="D185" s="14" t="n">
        <v>0.1</v>
      </c>
      <c r="E185" s="14" t="n">
        <v>15</v>
      </c>
      <c r="F185" s="14" t="n">
        <v>0</v>
      </c>
      <c r="G185" s="14" t="n">
        <v>42</v>
      </c>
      <c r="H185" s="15" t="n">
        <v>7640.12</v>
      </c>
      <c r="I185" s="16" t="n">
        <v>10.044</v>
      </c>
    </row>
    <row r="186" customFormat="false" ht="15" hidden="false" customHeight="false" outlineLevel="0" collapsed="false">
      <c r="A186" s="10" t="s">
        <v>52</v>
      </c>
      <c r="B186" s="10" t="s">
        <v>70</v>
      </c>
      <c r="C186" s="10" t="s">
        <v>54</v>
      </c>
      <c r="D186" s="10" t="n">
        <v>0.1</v>
      </c>
      <c r="E186" s="10" t="n">
        <v>15</v>
      </c>
      <c r="F186" s="10" t="n">
        <v>1</v>
      </c>
      <c r="G186" s="10" t="n">
        <v>43</v>
      </c>
      <c r="H186" s="11" t="n">
        <v>7696.55</v>
      </c>
      <c r="I186" s="12" t="n">
        <v>10.043</v>
      </c>
    </row>
    <row r="187" customFormat="false" ht="15" hidden="false" customHeight="false" outlineLevel="0" collapsed="false">
      <c r="A187" s="14" t="s">
        <v>52</v>
      </c>
      <c r="B187" s="14" t="s">
        <v>70</v>
      </c>
      <c r="C187" s="14" t="s">
        <v>54</v>
      </c>
      <c r="D187" s="14" t="n">
        <v>0.1</v>
      </c>
      <c r="E187" s="14" t="n">
        <v>15</v>
      </c>
      <c r="F187" s="14" t="n">
        <v>2</v>
      </c>
      <c r="G187" s="14" t="n">
        <v>44</v>
      </c>
      <c r="H187" s="15" t="n">
        <v>7624.14</v>
      </c>
      <c r="I187" s="16" t="n">
        <v>10.022</v>
      </c>
    </row>
    <row r="188" customFormat="false" ht="15" hidden="false" customHeight="false" outlineLevel="0" collapsed="false">
      <c r="A188" s="10" t="s">
        <v>52</v>
      </c>
      <c r="B188" s="10" t="s">
        <v>70</v>
      </c>
      <c r="C188" s="10" t="s">
        <v>55</v>
      </c>
      <c r="D188" s="10" t="n">
        <v>0.1</v>
      </c>
      <c r="E188" s="10" t="n">
        <v>15</v>
      </c>
      <c r="F188" s="10" t="n">
        <v>0</v>
      </c>
      <c r="G188" s="10" t="n">
        <v>42</v>
      </c>
      <c r="H188" s="11" t="n">
        <v>7652.25</v>
      </c>
      <c r="I188" s="12" t="n">
        <v>10.036</v>
      </c>
    </row>
    <row r="189" customFormat="false" ht="15" hidden="false" customHeight="false" outlineLevel="0" collapsed="false">
      <c r="A189" s="14" t="s">
        <v>52</v>
      </c>
      <c r="B189" s="14" t="s">
        <v>70</v>
      </c>
      <c r="C189" s="14" t="s">
        <v>55</v>
      </c>
      <c r="D189" s="14" t="n">
        <v>0.1</v>
      </c>
      <c r="E189" s="14" t="n">
        <v>15</v>
      </c>
      <c r="F189" s="14" t="n">
        <v>1</v>
      </c>
      <c r="G189" s="14" t="n">
        <v>43</v>
      </c>
      <c r="H189" s="15" t="n">
        <v>7660.66</v>
      </c>
      <c r="I189" s="16" t="n">
        <v>10.056</v>
      </c>
    </row>
    <row r="190" customFormat="false" ht="15" hidden="false" customHeight="false" outlineLevel="0" collapsed="false">
      <c r="A190" s="10" t="s">
        <v>52</v>
      </c>
      <c r="B190" s="10" t="s">
        <v>70</v>
      </c>
      <c r="C190" s="10" t="s">
        <v>55</v>
      </c>
      <c r="D190" s="10" t="n">
        <v>0.1</v>
      </c>
      <c r="E190" s="10" t="n">
        <v>15</v>
      </c>
      <c r="F190" s="10" t="n">
        <v>2</v>
      </c>
      <c r="G190" s="10" t="n">
        <v>44</v>
      </c>
      <c r="H190" s="11" t="n">
        <v>7700.44</v>
      </c>
      <c r="I190" s="12" t="n">
        <v>10.019</v>
      </c>
    </row>
    <row r="191" customFormat="false" ht="15" hidden="false" customHeight="false" outlineLevel="0" collapsed="false">
      <c r="A191" s="14" t="s">
        <v>52</v>
      </c>
      <c r="B191" s="14" t="s">
        <v>70</v>
      </c>
      <c r="C191" s="14" t="s">
        <v>56</v>
      </c>
      <c r="D191" s="14" t="n">
        <v>0.1</v>
      </c>
      <c r="E191" s="14" t="n">
        <v>15</v>
      </c>
      <c r="F191" s="14" t="n">
        <v>0</v>
      </c>
      <c r="G191" s="14" t="n">
        <v>42</v>
      </c>
      <c r="H191" s="15" t="n">
        <v>7716.31</v>
      </c>
      <c r="I191" s="16" t="n">
        <v>10.048</v>
      </c>
    </row>
    <row r="192" customFormat="false" ht="15" hidden="false" customHeight="false" outlineLevel="0" collapsed="false">
      <c r="A192" s="10" t="s">
        <v>52</v>
      </c>
      <c r="B192" s="10" t="s">
        <v>70</v>
      </c>
      <c r="C192" s="10" t="s">
        <v>56</v>
      </c>
      <c r="D192" s="10" t="n">
        <v>0.1</v>
      </c>
      <c r="E192" s="10" t="n">
        <v>15</v>
      </c>
      <c r="F192" s="10" t="n">
        <v>1</v>
      </c>
      <c r="G192" s="10" t="n">
        <v>43</v>
      </c>
      <c r="H192" s="11" t="n">
        <v>7681.79</v>
      </c>
      <c r="I192" s="12" t="n">
        <v>10.007</v>
      </c>
    </row>
    <row r="193" customFormat="false" ht="15" hidden="false" customHeight="false" outlineLevel="0" collapsed="false">
      <c r="A193" s="14" t="s">
        <v>52</v>
      </c>
      <c r="B193" s="14" t="s">
        <v>70</v>
      </c>
      <c r="C193" s="14" t="s">
        <v>56</v>
      </c>
      <c r="D193" s="14" t="n">
        <v>0.1</v>
      </c>
      <c r="E193" s="14" t="n">
        <v>15</v>
      </c>
      <c r="F193" s="14" t="n">
        <v>2</v>
      </c>
      <c r="G193" s="14" t="n">
        <v>44</v>
      </c>
      <c r="H193" s="15" t="n">
        <v>7725.68</v>
      </c>
      <c r="I193" s="16" t="n">
        <v>10.019</v>
      </c>
    </row>
    <row r="194" customFormat="false" ht="15" hidden="false" customHeight="false" outlineLevel="0" collapsed="false">
      <c r="A194" s="10" t="s">
        <v>52</v>
      </c>
      <c r="B194" s="10" t="s">
        <v>70</v>
      </c>
      <c r="C194" s="10" t="s">
        <v>57</v>
      </c>
      <c r="D194" s="10" t="n">
        <v>0.1</v>
      </c>
      <c r="E194" s="10" t="n">
        <v>15</v>
      </c>
      <c r="F194" s="10" t="n">
        <v>0</v>
      </c>
      <c r="G194" s="10" t="n">
        <v>42</v>
      </c>
      <c r="H194" s="11" t="n">
        <v>7638.92</v>
      </c>
      <c r="I194" s="12" t="n">
        <v>10.014</v>
      </c>
    </row>
    <row r="195" customFormat="false" ht="15" hidden="false" customHeight="false" outlineLevel="0" collapsed="false">
      <c r="A195" s="14" t="s">
        <v>52</v>
      </c>
      <c r="B195" s="14" t="s">
        <v>70</v>
      </c>
      <c r="C195" s="14" t="s">
        <v>57</v>
      </c>
      <c r="D195" s="14" t="n">
        <v>0.1</v>
      </c>
      <c r="E195" s="14" t="n">
        <v>15</v>
      </c>
      <c r="F195" s="14" t="n">
        <v>1</v>
      </c>
      <c r="G195" s="14" t="n">
        <v>43</v>
      </c>
      <c r="H195" s="15" t="n">
        <v>7630.49</v>
      </c>
      <c r="I195" s="16" t="n">
        <v>10.022</v>
      </c>
    </row>
    <row r="196" customFormat="false" ht="15" hidden="false" customHeight="false" outlineLevel="0" collapsed="false">
      <c r="A196" s="10" t="s">
        <v>52</v>
      </c>
      <c r="B196" s="10" t="s">
        <v>70</v>
      </c>
      <c r="C196" s="10" t="s">
        <v>57</v>
      </c>
      <c r="D196" s="10" t="n">
        <v>0.1</v>
      </c>
      <c r="E196" s="10" t="n">
        <v>15</v>
      </c>
      <c r="F196" s="10" t="n">
        <v>2</v>
      </c>
      <c r="G196" s="10" t="n">
        <v>44</v>
      </c>
      <c r="H196" s="11" t="n">
        <v>7710.71</v>
      </c>
      <c r="I196" s="12" t="n">
        <v>10.034</v>
      </c>
    </row>
    <row r="197" customFormat="false" ht="15" hidden="false" customHeight="false" outlineLevel="0" collapsed="false">
      <c r="A197" s="14" t="s">
        <v>52</v>
      </c>
      <c r="B197" s="14" t="s">
        <v>70</v>
      </c>
      <c r="C197" s="14" t="s">
        <v>53</v>
      </c>
      <c r="D197" s="14" t="n">
        <v>0.25</v>
      </c>
      <c r="E197" s="14" t="n">
        <v>15</v>
      </c>
      <c r="F197" s="14" t="n">
        <v>0</v>
      </c>
      <c r="G197" s="14" t="n">
        <v>42</v>
      </c>
      <c r="H197" s="15" t="n">
        <v>7692.59</v>
      </c>
      <c r="I197" s="16" t="n">
        <v>10.039</v>
      </c>
    </row>
    <row r="198" customFormat="false" ht="15" hidden="false" customHeight="false" outlineLevel="0" collapsed="false">
      <c r="A198" s="10" t="s">
        <v>52</v>
      </c>
      <c r="B198" s="10" t="s">
        <v>70</v>
      </c>
      <c r="C198" s="10" t="s">
        <v>53</v>
      </c>
      <c r="D198" s="10" t="n">
        <v>0.25</v>
      </c>
      <c r="E198" s="10" t="n">
        <v>15</v>
      </c>
      <c r="F198" s="10" t="n">
        <v>1</v>
      </c>
      <c r="G198" s="10" t="n">
        <v>43</v>
      </c>
      <c r="H198" s="11" t="n">
        <v>7638.66</v>
      </c>
      <c r="I198" s="12" t="n">
        <v>10.038</v>
      </c>
    </row>
    <row r="199" customFormat="false" ht="15" hidden="false" customHeight="false" outlineLevel="0" collapsed="false">
      <c r="A199" s="14" t="s">
        <v>52</v>
      </c>
      <c r="B199" s="14" t="s">
        <v>70</v>
      </c>
      <c r="C199" s="14" t="s">
        <v>53</v>
      </c>
      <c r="D199" s="14" t="n">
        <v>0.25</v>
      </c>
      <c r="E199" s="14" t="n">
        <v>15</v>
      </c>
      <c r="F199" s="14" t="n">
        <v>2</v>
      </c>
      <c r="G199" s="14" t="n">
        <v>44</v>
      </c>
      <c r="H199" s="15" t="n">
        <v>7688.02</v>
      </c>
      <c r="I199" s="16" t="n">
        <v>10.047</v>
      </c>
    </row>
    <row r="200" customFormat="false" ht="15" hidden="false" customHeight="false" outlineLevel="0" collapsed="false">
      <c r="A200" s="10" t="s">
        <v>52</v>
      </c>
      <c r="B200" s="10" t="s">
        <v>70</v>
      </c>
      <c r="C200" s="10" t="s">
        <v>54</v>
      </c>
      <c r="D200" s="10" t="n">
        <v>0.25</v>
      </c>
      <c r="E200" s="10" t="n">
        <v>15</v>
      </c>
      <c r="F200" s="10" t="n">
        <v>0</v>
      </c>
      <c r="G200" s="10" t="n">
        <v>42</v>
      </c>
      <c r="H200" s="11" t="n">
        <v>7685.23</v>
      </c>
      <c r="I200" s="12" t="n">
        <v>10.012</v>
      </c>
    </row>
    <row r="201" customFormat="false" ht="15" hidden="false" customHeight="false" outlineLevel="0" collapsed="false">
      <c r="A201" s="14" t="s">
        <v>52</v>
      </c>
      <c r="B201" s="14" t="s">
        <v>70</v>
      </c>
      <c r="C201" s="14" t="s">
        <v>54</v>
      </c>
      <c r="D201" s="14" t="n">
        <v>0.25</v>
      </c>
      <c r="E201" s="14" t="n">
        <v>15</v>
      </c>
      <c r="F201" s="14" t="n">
        <v>1</v>
      </c>
      <c r="G201" s="14" t="n">
        <v>43</v>
      </c>
      <c r="H201" s="15" t="n">
        <v>7710.07</v>
      </c>
      <c r="I201" s="16" t="n">
        <v>10.044</v>
      </c>
    </row>
    <row r="202" customFormat="false" ht="15" hidden="false" customHeight="false" outlineLevel="0" collapsed="false">
      <c r="A202" s="10" t="s">
        <v>52</v>
      </c>
      <c r="B202" s="10" t="s">
        <v>70</v>
      </c>
      <c r="C202" s="10" t="s">
        <v>54</v>
      </c>
      <c r="D202" s="10" t="n">
        <v>0.25</v>
      </c>
      <c r="E202" s="10" t="n">
        <v>15</v>
      </c>
      <c r="F202" s="10" t="n">
        <v>2</v>
      </c>
      <c r="G202" s="10" t="n">
        <v>44</v>
      </c>
      <c r="H202" s="11" t="n">
        <v>7634.55</v>
      </c>
      <c r="I202" s="12" t="n">
        <v>10.006</v>
      </c>
    </row>
    <row r="203" customFormat="false" ht="15" hidden="false" customHeight="false" outlineLevel="0" collapsed="false">
      <c r="A203" s="14" t="s">
        <v>52</v>
      </c>
      <c r="B203" s="14" t="s">
        <v>70</v>
      </c>
      <c r="C203" s="14" t="s">
        <v>55</v>
      </c>
      <c r="D203" s="14" t="n">
        <v>0.25</v>
      </c>
      <c r="E203" s="14" t="n">
        <v>15</v>
      </c>
      <c r="F203" s="14" t="n">
        <v>0</v>
      </c>
      <c r="G203" s="14" t="n">
        <v>42</v>
      </c>
      <c r="H203" s="15" t="n">
        <v>7692.24</v>
      </c>
      <c r="I203" s="16" t="n">
        <v>10.02</v>
      </c>
    </row>
    <row r="204" customFormat="false" ht="15" hidden="false" customHeight="false" outlineLevel="0" collapsed="false">
      <c r="A204" s="10" t="s">
        <v>52</v>
      </c>
      <c r="B204" s="10" t="s">
        <v>70</v>
      </c>
      <c r="C204" s="10" t="s">
        <v>55</v>
      </c>
      <c r="D204" s="10" t="n">
        <v>0.25</v>
      </c>
      <c r="E204" s="10" t="n">
        <v>15</v>
      </c>
      <c r="F204" s="10" t="n">
        <v>1</v>
      </c>
      <c r="G204" s="10" t="n">
        <v>43</v>
      </c>
      <c r="H204" s="11" t="n">
        <v>7674.6</v>
      </c>
      <c r="I204" s="12" t="n">
        <v>10.032</v>
      </c>
    </row>
    <row r="205" customFormat="false" ht="15" hidden="false" customHeight="false" outlineLevel="0" collapsed="false">
      <c r="A205" s="14" t="s">
        <v>52</v>
      </c>
      <c r="B205" s="14" t="s">
        <v>70</v>
      </c>
      <c r="C205" s="14" t="s">
        <v>55</v>
      </c>
      <c r="D205" s="14" t="n">
        <v>0.25</v>
      </c>
      <c r="E205" s="14" t="n">
        <v>15</v>
      </c>
      <c r="F205" s="14" t="n">
        <v>2</v>
      </c>
      <c r="G205" s="14" t="n">
        <v>44</v>
      </c>
      <c r="H205" s="15" t="n">
        <v>7645.36</v>
      </c>
      <c r="I205" s="16" t="n">
        <v>10.014</v>
      </c>
    </row>
    <row r="206" customFormat="false" ht="15" hidden="false" customHeight="false" outlineLevel="0" collapsed="false">
      <c r="A206" s="10" t="s">
        <v>52</v>
      </c>
      <c r="B206" s="10" t="s">
        <v>70</v>
      </c>
      <c r="C206" s="10" t="s">
        <v>56</v>
      </c>
      <c r="D206" s="10" t="n">
        <v>0.25</v>
      </c>
      <c r="E206" s="10" t="n">
        <v>15</v>
      </c>
      <c r="F206" s="10" t="n">
        <v>0</v>
      </c>
      <c r="G206" s="10" t="n">
        <v>42</v>
      </c>
      <c r="H206" s="11" t="n">
        <v>7658.79</v>
      </c>
      <c r="I206" s="12" t="n">
        <v>10.049</v>
      </c>
    </row>
    <row r="207" customFormat="false" ht="15" hidden="false" customHeight="false" outlineLevel="0" collapsed="false">
      <c r="A207" s="14" t="s">
        <v>52</v>
      </c>
      <c r="B207" s="14" t="s">
        <v>70</v>
      </c>
      <c r="C207" s="14" t="s">
        <v>56</v>
      </c>
      <c r="D207" s="14" t="n">
        <v>0.25</v>
      </c>
      <c r="E207" s="14" t="n">
        <v>15</v>
      </c>
      <c r="F207" s="14" t="n">
        <v>1</v>
      </c>
      <c r="G207" s="14" t="n">
        <v>43</v>
      </c>
      <c r="H207" s="15" t="n">
        <v>7692.83</v>
      </c>
      <c r="I207" s="16" t="n">
        <v>10.018</v>
      </c>
    </row>
    <row r="208" customFormat="false" ht="15" hidden="false" customHeight="false" outlineLevel="0" collapsed="false">
      <c r="A208" s="10" t="s">
        <v>52</v>
      </c>
      <c r="B208" s="10" t="s">
        <v>70</v>
      </c>
      <c r="C208" s="10" t="s">
        <v>56</v>
      </c>
      <c r="D208" s="10" t="n">
        <v>0.25</v>
      </c>
      <c r="E208" s="10" t="n">
        <v>15</v>
      </c>
      <c r="F208" s="10" t="n">
        <v>2</v>
      </c>
      <c r="G208" s="10" t="n">
        <v>44</v>
      </c>
      <c r="H208" s="11" t="n">
        <v>7705.62</v>
      </c>
      <c r="I208" s="12" t="n">
        <v>10.027</v>
      </c>
    </row>
    <row r="209" customFormat="false" ht="15" hidden="false" customHeight="false" outlineLevel="0" collapsed="false">
      <c r="A209" s="14" t="s">
        <v>52</v>
      </c>
      <c r="B209" s="14" t="s">
        <v>70</v>
      </c>
      <c r="C209" s="14" t="s">
        <v>57</v>
      </c>
      <c r="D209" s="14" t="n">
        <v>0.25</v>
      </c>
      <c r="E209" s="14" t="n">
        <v>15</v>
      </c>
      <c r="F209" s="14" t="n">
        <v>0</v>
      </c>
      <c r="G209" s="14" t="n">
        <v>42</v>
      </c>
      <c r="H209" s="15" t="n">
        <v>7722.02</v>
      </c>
      <c r="I209" s="16" t="n">
        <v>10.047</v>
      </c>
    </row>
    <row r="210" customFormat="false" ht="15" hidden="false" customHeight="false" outlineLevel="0" collapsed="false">
      <c r="A210" s="10" t="s">
        <v>52</v>
      </c>
      <c r="B210" s="10" t="s">
        <v>70</v>
      </c>
      <c r="C210" s="10" t="s">
        <v>57</v>
      </c>
      <c r="D210" s="10" t="n">
        <v>0.25</v>
      </c>
      <c r="E210" s="10" t="n">
        <v>15</v>
      </c>
      <c r="F210" s="10" t="n">
        <v>1</v>
      </c>
      <c r="G210" s="10" t="n">
        <v>43</v>
      </c>
      <c r="H210" s="11" t="n">
        <v>7723.99</v>
      </c>
      <c r="I210" s="12" t="n">
        <v>10.047</v>
      </c>
    </row>
    <row r="211" customFormat="false" ht="15" hidden="false" customHeight="false" outlineLevel="0" collapsed="false">
      <c r="A211" s="14" t="s">
        <v>52</v>
      </c>
      <c r="B211" s="14" t="s">
        <v>70</v>
      </c>
      <c r="C211" s="14" t="s">
        <v>57</v>
      </c>
      <c r="D211" s="14" t="n">
        <v>0.25</v>
      </c>
      <c r="E211" s="14" t="n">
        <v>15</v>
      </c>
      <c r="F211" s="14" t="n">
        <v>2</v>
      </c>
      <c r="G211" s="14" t="n">
        <v>44</v>
      </c>
      <c r="H211" s="15" t="n">
        <v>7692.15</v>
      </c>
      <c r="I211" s="16" t="n">
        <v>10.046</v>
      </c>
    </row>
    <row r="212" customFormat="false" ht="15" hidden="false" customHeight="false" outlineLevel="0" collapsed="false">
      <c r="A212" s="10" t="s">
        <v>52</v>
      </c>
      <c r="B212" s="10" t="s">
        <v>70</v>
      </c>
      <c r="C212" s="10" t="s">
        <v>53</v>
      </c>
      <c r="D212" s="10" t="n">
        <v>0.5</v>
      </c>
      <c r="E212" s="10" t="n">
        <v>15</v>
      </c>
      <c r="F212" s="10" t="n">
        <v>0</v>
      </c>
      <c r="G212" s="10" t="n">
        <v>42</v>
      </c>
      <c r="H212" s="11" t="n">
        <v>7728.36</v>
      </c>
      <c r="I212" s="12" t="n">
        <v>10.03</v>
      </c>
    </row>
    <row r="213" customFormat="false" ht="15" hidden="false" customHeight="false" outlineLevel="0" collapsed="false">
      <c r="A213" s="14" t="s">
        <v>52</v>
      </c>
      <c r="B213" s="14" t="s">
        <v>70</v>
      </c>
      <c r="C213" s="14" t="s">
        <v>53</v>
      </c>
      <c r="D213" s="14" t="n">
        <v>0.5</v>
      </c>
      <c r="E213" s="14" t="n">
        <v>15</v>
      </c>
      <c r="F213" s="14" t="n">
        <v>1</v>
      </c>
      <c r="G213" s="14" t="n">
        <v>43</v>
      </c>
      <c r="H213" s="15" t="n">
        <v>7641.14</v>
      </c>
      <c r="I213" s="16" t="n">
        <v>10.026</v>
      </c>
    </row>
    <row r="214" customFormat="false" ht="15" hidden="false" customHeight="false" outlineLevel="0" collapsed="false">
      <c r="A214" s="10" t="s">
        <v>52</v>
      </c>
      <c r="B214" s="10" t="s">
        <v>70</v>
      </c>
      <c r="C214" s="10" t="s">
        <v>53</v>
      </c>
      <c r="D214" s="10" t="n">
        <v>0.5</v>
      </c>
      <c r="E214" s="10" t="n">
        <v>15</v>
      </c>
      <c r="F214" s="10" t="n">
        <v>2</v>
      </c>
      <c r="G214" s="10" t="n">
        <v>44</v>
      </c>
      <c r="H214" s="11" t="n">
        <v>7632.04</v>
      </c>
      <c r="I214" s="12" t="n">
        <v>10.041</v>
      </c>
    </row>
    <row r="215" customFormat="false" ht="15" hidden="false" customHeight="false" outlineLevel="0" collapsed="false">
      <c r="A215" s="14" t="s">
        <v>52</v>
      </c>
      <c r="B215" s="14" t="s">
        <v>70</v>
      </c>
      <c r="C215" s="14" t="s">
        <v>54</v>
      </c>
      <c r="D215" s="14" t="n">
        <v>0.5</v>
      </c>
      <c r="E215" s="14" t="n">
        <v>15</v>
      </c>
      <c r="F215" s="14" t="n">
        <v>0</v>
      </c>
      <c r="G215" s="14" t="n">
        <v>42</v>
      </c>
      <c r="H215" s="15" t="n">
        <v>7646.78</v>
      </c>
      <c r="I215" s="16" t="n">
        <v>10.04</v>
      </c>
    </row>
    <row r="216" customFormat="false" ht="15" hidden="false" customHeight="false" outlineLevel="0" collapsed="false">
      <c r="A216" s="10" t="s">
        <v>52</v>
      </c>
      <c r="B216" s="10" t="s">
        <v>70</v>
      </c>
      <c r="C216" s="10" t="s">
        <v>54</v>
      </c>
      <c r="D216" s="10" t="n">
        <v>0.5</v>
      </c>
      <c r="E216" s="10" t="n">
        <v>15</v>
      </c>
      <c r="F216" s="10" t="n">
        <v>1</v>
      </c>
      <c r="G216" s="10" t="n">
        <v>43</v>
      </c>
      <c r="H216" s="11" t="n">
        <v>7618.51</v>
      </c>
      <c r="I216" s="12" t="n">
        <v>10.031</v>
      </c>
    </row>
    <row r="217" customFormat="false" ht="15" hidden="false" customHeight="false" outlineLevel="0" collapsed="false">
      <c r="A217" s="14" t="s">
        <v>52</v>
      </c>
      <c r="B217" s="14" t="s">
        <v>70</v>
      </c>
      <c r="C217" s="14" t="s">
        <v>54</v>
      </c>
      <c r="D217" s="14" t="n">
        <v>0.5</v>
      </c>
      <c r="E217" s="14" t="n">
        <v>15</v>
      </c>
      <c r="F217" s="14" t="n">
        <v>2</v>
      </c>
      <c r="G217" s="14" t="n">
        <v>44</v>
      </c>
      <c r="H217" s="15" t="n">
        <v>7648.01</v>
      </c>
      <c r="I217" s="16" t="n">
        <v>10.017</v>
      </c>
    </row>
    <row r="218" customFormat="false" ht="15" hidden="false" customHeight="false" outlineLevel="0" collapsed="false">
      <c r="A218" s="10" t="s">
        <v>52</v>
      </c>
      <c r="B218" s="10" t="s">
        <v>70</v>
      </c>
      <c r="C218" s="10" t="s">
        <v>55</v>
      </c>
      <c r="D218" s="10" t="n">
        <v>0.5</v>
      </c>
      <c r="E218" s="10" t="n">
        <v>15</v>
      </c>
      <c r="F218" s="10" t="n">
        <v>0</v>
      </c>
      <c r="G218" s="10" t="n">
        <v>42</v>
      </c>
      <c r="H218" s="11" t="n">
        <v>7658.42</v>
      </c>
      <c r="I218" s="12" t="n">
        <v>10.01</v>
      </c>
    </row>
    <row r="219" customFormat="false" ht="15" hidden="false" customHeight="false" outlineLevel="0" collapsed="false">
      <c r="A219" s="14" t="s">
        <v>52</v>
      </c>
      <c r="B219" s="14" t="s">
        <v>70</v>
      </c>
      <c r="C219" s="14" t="s">
        <v>55</v>
      </c>
      <c r="D219" s="14" t="n">
        <v>0.5</v>
      </c>
      <c r="E219" s="14" t="n">
        <v>15</v>
      </c>
      <c r="F219" s="14" t="n">
        <v>1</v>
      </c>
      <c r="G219" s="14" t="n">
        <v>43</v>
      </c>
      <c r="H219" s="15" t="n">
        <v>7682.09</v>
      </c>
      <c r="I219" s="16" t="n">
        <v>10.043</v>
      </c>
    </row>
    <row r="220" customFormat="false" ht="15" hidden="false" customHeight="false" outlineLevel="0" collapsed="false">
      <c r="A220" s="10" t="s">
        <v>52</v>
      </c>
      <c r="B220" s="10" t="s">
        <v>70</v>
      </c>
      <c r="C220" s="10" t="s">
        <v>55</v>
      </c>
      <c r="D220" s="10" t="n">
        <v>0.5</v>
      </c>
      <c r="E220" s="10" t="n">
        <v>15</v>
      </c>
      <c r="F220" s="10" t="n">
        <v>2</v>
      </c>
      <c r="G220" s="10" t="n">
        <v>44</v>
      </c>
      <c r="H220" s="11" t="n">
        <v>7658.21</v>
      </c>
      <c r="I220" s="12" t="n">
        <v>10.049</v>
      </c>
    </row>
    <row r="221" customFormat="false" ht="15" hidden="false" customHeight="false" outlineLevel="0" collapsed="false">
      <c r="A221" s="14" t="s">
        <v>52</v>
      </c>
      <c r="B221" s="14" t="s">
        <v>70</v>
      </c>
      <c r="C221" s="14" t="s">
        <v>56</v>
      </c>
      <c r="D221" s="14" t="n">
        <v>0.5</v>
      </c>
      <c r="E221" s="14" t="n">
        <v>15</v>
      </c>
      <c r="F221" s="14" t="n">
        <v>0</v>
      </c>
      <c r="G221" s="14" t="n">
        <v>42</v>
      </c>
      <c r="H221" s="15" t="n">
        <v>7707.48</v>
      </c>
      <c r="I221" s="16" t="n">
        <v>10.038</v>
      </c>
    </row>
    <row r="222" customFormat="false" ht="15" hidden="false" customHeight="false" outlineLevel="0" collapsed="false">
      <c r="A222" s="10" t="s">
        <v>52</v>
      </c>
      <c r="B222" s="10" t="s">
        <v>70</v>
      </c>
      <c r="C222" s="10" t="s">
        <v>56</v>
      </c>
      <c r="D222" s="10" t="n">
        <v>0.5</v>
      </c>
      <c r="E222" s="10" t="n">
        <v>15</v>
      </c>
      <c r="F222" s="10" t="n">
        <v>1</v>
      </c>
      <c r="G222" s="10" t="n">
        <v>43</v>
      </c>
      <c r="H222" s="11" t="n">
        <v>7619.5</v>
      </c>
      <c r="I222" s="12" t="n">
        <v>10.044</v>
      </c>
    </row>
    <row r="223" customFormat="false" ht="15" hidden="false" customHeight="false" outlineLevel="0" collapsed="false">
      <c r="A223" s="14" t="s">
        <v>52</v>
      </c>
      <c r="B223" s="14" t="s">
        <v>70</v>
      </c>
      <c r="C223" s="14" t="s">
        <v>56</v>
      </c>
      <c r="D223" s="14" t="n">
        <v>0.5</v>
      </c>
      <c r="E223" s="14" t="n">
        <v>15</v>
      </c>
      <c r="F223" s="14" t="n">
        <v>2</v>
      </c>
      <c r="G223" s="14" t="n">
        <v>44</v>
      </c>
      <c r="H223" s="15" t="n">
        <v>7657.16</v>
      </c>
      <c r="I223" s="16" t="n">
        <v>10.023</v>
      </c>
    </row>
    <row r="224" customFormat="false" ht="15" hidden="false" customHeight="false" outlineLevel="0" collapsed="false">
      <c r="A224" s="10" t="s">
        <v>52</v>
      </c>
      <c r="B224" s="10" t="s">
        <v>70</v>
      </c>
      <c r="C224" s="10" t="s">
        <v>57</v>
      </c>
      <c r="D224" s="10" t="n">
        <v>0.5</v>
      </c>
      <c r="E224" s="10" t="n">
        <v>15</v>
      </c>
      <c r="F224" s="10" t="n">
        <v>0</v>
      </c>
      <c r="G224" s="10" t="n">
        <v>42</v>
      </c>
      <c r="H224" s="11" t="n">
        <v>7733.08</v>
      </c>
      <c r="I224" s="12" t="n">
        <v>10.012</v>
      </c>
    </row>
    <row r="225" customFormat="false" ht="15" hidden="false" customHeight="false" outlineLevel="0" collapsed="false">
      <c r="A225" s="14" t="s">
        <v>52</v>
      </c>
      <c r="B225" s="14" t="s">
        <v>70</v>
      </c>
      <c r="C225" s="14" t="s">
        <v>57</v>
      </c>
      <c r="D225" s="14" t="n">
        <v>0.5</v>
      </c>
      <c r="E225" s="14" t="n">
        <v>15</v>
      </c>
      <c r="F225" s="14" t="n">
        <v>1</v>
      </c>
      <c r="G225" s="14" t="n">
        <v>43</v>
      </c>
      <c r="H225" s="15" t="n">
        <v>7723.13</v>
      </c>
      <c r="I225" s="16" t="n">
        <v>10.014</v>
      </c>
    </row>
    <row r="226" customFormat="false" ht="15" hidden="false" customHeight="false" outlineLevel="0" collapsed="false">
      <c r="A226" s="10" t="s">
        <v>52</v>
      </c>
      <c r="B226" s="10" t="s">
        <v>70</v>
      </c>
      <c r="C226" s="10" t="s">
        <v>57</v>
      </c>
      <c r="D226" s="10" t="n">
        <v>0.5</v>
      </c>
      <c r="E226" s="10" t="n">
        <v>15</v>
      </c>
      <c r="F226" s="10" t="n">
        <v>2</v>
      </c>
      <c r="G226" s="10" t="n">
        <v>44</v>
      </c>
      <c r="H226" s="11" t="n">
        <v>7696.77</v>
      </c>
      <c r="I226" s="12" t="n">
        <v>10.041</v>
      </c>
    </row>
    <row r="227" customFormat="false" ht="15" hidden="false" customHeight="false" outlineLevel="0" collapsed="false">
      <c r="A227" s="14" t="s">
        <v>52</v>
      </c>
      <c r="B227" s="14" t="s">
        <v>70</v>
      </c>
      <c r="C227" s="14" t="s">
        <v>53</v>
      </c>
      <c r="D227" s="14" t="n">
        <v>0.75</v>
      </c>
      <c r="E227" s="14" t="n">
        <v>15</v>
      </c>
      <c r="F227" s="14" t="n">
        <v>0</v>
      </c>
      <c r="G227" s="14" t="n">
        <v>42</v>
      </c>
      <c r="H227" s="15" t="n">
        <v>7663.04</v>
      </c>
      <c r="I227" s="16" t="n">
        <v>10.044</v>
      </c>
    </row>
    <row r="228" customFormat="false" ht="15" hidden="false" customHeight="false" outlineLevel="0" collapsed="false">
      <c r="A228" s="10" t="s">
        <v>52</v>
      </c>
      <c r="B228" s="10" t="s">
        <v>70</v>
      </c>
      <c r="C228" s="10" t="s">
        <v>53</v>
      </c>
      <c r="D228" s="10" t="n">
        <v>0.75</v>
      </c>
      <c r="E228" s="10" t="n">
        <v>15</v>
      </c>
      <c r="F228" s="10" t="n">
        <v>1</v>
      </c>
      <c r="G228" s="10" t="n">
        <v>43</v>
      </c>
      <c r="H228" s="11" t="n">
        <v>7648.43</v>
      </c>
      <c r="I228" s="12" t="n">
        <v>10.028</v>
      </c>
    </row>
    <row r="229" customFormat="false" ht="15" hidden="false" customHeight="false" outlineLevel="0" collapsed="false">
      <c r="A229" s="14" t="s">
        <v>52</v>
      </c>
      <c r="B229" s="14" t="s">
        <v>70</v>
      </c>
      <c r="C229" s="14" t="s">
        <v>53</v>
      </c>
      <c r="D229" s="14" t="n">
        <v>0.75</v>
      </c>
      <c r="E229" s="14" t="n">
        <v>15</v>
      </c>
      <c r="F229" s="14" t="n">
        <v>2</v>
      </c>
      <c r="G229" s="14" t="n">
        <v>44</v>
      </c>
      <c r="H229" s="15" t="n">
        <v>7684.11</v>
      </c>
      <c r="I229" s="16" t="n">
        <v>10.007</v>
      </c>
    </row>
    <row r="230" customFormat="false" ht="15" hidden="false" customHeight="false" outlineLevel="0" collapsed="false">
      <c r="A230" s="10" t="s">
        <v>52</v>
      </c>
      <c r="B230" s="10" t="s">
        <v>70</v>
      </c>
      <c r="C230" s="10" t="s">
        <v>54</v>
      </c>
      <c r="D230" s="10" t="n">
        <v>0.75</v>
      </c>
      <c r="E230" s="10" t="n">
        <v>15</v>
      </c>
      <c r="F230" s="10" t="n">
        <v>0</v>
      </c>
      <c r="G230" s="10" t="n">
        <v>42</v>
      </c>
      <c r="H230" s="11" t="n">
        <v>7646.69</v>
      </c>
      <c r="I230" s="12" t="n">
        <v>10.018</v>
      </c>
    </row>
    <row r="231" customFormat="false" ht="15" hidden="false" customHeight="false" outlineLevel="0" collapsed="false">
      <c r="A231" s="14" t="s">
        <v>52</v>
      </c>
      <c r="B231" s="14" t="s">
        <v>70</v>
      </c>
      <c r="C231" s="14" t="s">
        <v>54</v>
      </c>
      <c r="D231" s="14" t="n">
        <v>0.75</v>
      </c>
      <c r="E231" s="14" t="n">
        <v>15</v>
      </c>
      <c r="F231" s="14" t="n">
        <v>1</v>
      </c>
      <c r="G231" s="14" t="n">
        <v>43</v>
      </c>
      <c r="H231" s="15" t="n">
        <v>7649.87</v>
      </c>
      <c r="I231" s="16" t="n">
        <v>10.049</v>
      </c>
    </row>
    <row r="232" customFormat="false" ht="15" hidden="false" customHeight="false" outlineLevel="0" collapsed="false">
      <c r="A232" s="10" t="s">
        <v>52</v>
      </c>
      <c r="B232" s="10" t="s">
        <v>70</v>
      </c>
      <c r="C232" s="10" t="s">
        <v>54</v>
      </c>
      <c r="D232" s="10" t="n">
        <v>0.75</v>
      </c>
      <c r="E232" s="10" t="n">
        <v>15</v>
      </c>
      <c r="F232" s="10" t="n">
        <v>2</v>
      </c>
      <c r="G232" s="10" t="n">
        <v>44</v>
      </c>
      <c r="H232" s="11" t="n">
        <v>7690.92</v>
      </c>
      <c r="I232" s="12" t="n">
        <v>10.051</v>
      </c>
    </row>
    <row r="233" customFormat="false" ht="15" hidden="false" customHeight="false" outlineLevel="0" collapsed="false">
      <c r="A233" s="14" t="s">
        <v>52</v>
      </c>
      <c r="B233" s="14" t="s">
        <v>70</v>
      </c>
      <c r="C233" s="14" t="s">
        <v>55</v>
      </c>
      <c r="D233" s="14" t="n">
        <v>0.75</v>
      </c>
      <c r="E233" s="14" t="n">
        <v>15</v>
      </c>
      <c r="F233" s="14" t="n">
        <v>0</v>
      </c>
      <c r="G233" s="14" t="n">
        <v>42</v>
      </c>
      <c r="H233" s="15" t="n">
        <v>7665.39</v>
      </c>
      <c r="I233" s="16" t="n">
        <v>10.005</v>
      </c>
    </row>
    <row r="234" customFormat="false" ht="15" hidden="false" customHeight="false" outlineLevel="0" collapsed="false">
      <c r="A234" s="10" t="s">
        <v>52</v>
      </c>
      <c r="B234" s="10" t="s">
        <v>70</v>
      </c>
      <c r="C234" s="10" t="s">
        <v>55</v>
      </c>
      <c r="D234" s="10" t="n">
        <v>0.75</v>
      </c>
      <c r="E234" s="10" t="n">
        <v>15</v>
      </c>
      <c r="F234" s="10" t="n">
        <v>1</v>
      </c>
      <c r="G234" s="10" t="n">
        <v>43</v>
      </c>
      <c r="H234" s="11" t="n">
        <v>7675.35</v>
      </c>
      <c r="I234" s="12" t="n">
        <v>10.028</v>
      </c>
    </row>
    <row r="235" customFormat="false" ht="15" hidden="false" customHeight="false" outlineLevel="0" collapsed="false">
      <c r="A235" s="14" t="s">
        <v>52</v>
      </c>
      <c r="B235" s="14" t="s">
        <v>70</v>
      </c>
      <c r="C235" s="14" t="s">
        <v>55</v>
      </c>
      <c r="D235" s="14" t="n">
        <v>0.75</v>
      </c>
      <c r="E235" s="14" t="n">
        <v>15</v>
      </c>
      <c r="F235" s="14" t="n">
        <v>2</v>
      </c>
      <c r="G235" s="14" t="n">
        <v>44</v>
      </c>
      <c r="H235" s="15" t="n">
        <v>7749.3</v>
      </c>
      <c r="I235" s="16" t="n">
        <v>10.037</v>
      </c>
    </row>
    <row r="236" customFormat="false" ht="15" hidden="false" customHeight="false" outlineLevel="0" collapsed="false">
      <c r="A236" s="10" t="s">
        <v>52</v>
      </c>
      <c r="B236" s="10" t="s">
        <v>70</v>
      </c>
      <c r="C236" s="10" t="s">
        <v>56</v>
      </c>
      <c r="D236" s="10" t="n">
        <v>0.75</v>
      </c>
      <c r="E236" s="10" t="n">
        <v>15</v>
      </c>
      <c r="F236" s="10" t="n">
        <v>0</v>
      </c>
      <c r="G236" s="10" t="n">
        <v>42</v>
      </c>
      <c r="H236" s="11" t="n">
        <v>7735.93</v>
      </c>
      <c r="I236" s="12" t="n">
        <v>10.042</v>
      </c>
    </row>
    <row r="237" customFormat="false" ht="15" hidden="false" customHeight="false" outlineLevel="0" collapsed="false">
      <c r="A237" s="14" t="s">
        <v>52</v>
      </c>
      <c r="B237" s="14" t="s">
        <v>70</v>
      </c>
      <c r="C237" s="14" t="s">
        <v>56</v>
      </c>
      <c r="D237" s="14" t="n">
        <v>0.75</v>
      </c>
      <c r="E237" s="14" t="n">
        <v>15</v>
      </c>
      <c r="F237" s="14" t="n">
        <v>1</v>
      </c>
      <c r="G237" s="14" t="n">
        <v>43</v>
      </c>
      <c r="H237" s="15" t="n">
        <v>7690.96</v>
      </c>
      <c r="I237" s="16" t="n">
        <v>10.02</v>
      </c>
    </row>
    <row r="238" customFormat="false" ht="15" hidden="false" customHeight="false" outlineLevel="0" collapsed="false">
      <c r="A238" s="10" t="s">
        <v>52</v>
      </c>
      <c r="B238" s="10" t="s">
        <v>70</v>
      </c>
      <c r="C238" s="10" t="s">
        <v>56</v>
      </c>
      <c r="D238" s="10" t="n">
        <v>0.75</v>
      </c>
      <c r="E238" s="10" t="n">
        <v>15</v>
      </c>
      <c r="F238" s="10" t="n">
        <v>2</v>
      </c>
      <c r="G238" s="10" t="n">
        <v>44</v>
      </c>
      <c r="H238" s="11" t="n">
        <v>7706.48</v>
      </c>
      <c r="I238" s="12" t="n">
        <v>10.026</v>
      </c>
    </row>
    <row r="239" customFormat="false" ht="15" hidden="false" customHeight="false" outlineLevel="0" collapsed="false">
      <c r="A239" s="14" t="s">
        <v>52</v>
      </c>
      <c r="B239" s="14" t="s">
        <v>70</v>
      </c>
      <c r="C239" s="14" t="s">
        <v>57</v>
      </c>
      <c r="D239" s="14" t="n">
        <v>0.75</v>
      </c>
      <c r="E239" s="14" t="n">
        <v>15</v>
      </c>
      <c r="F239" s="14" t="n">
        <v>0</v>
      </c>
      <c r="G239" s="14" t="n">
        <v>42</v>
      </c>
      <c r="H239" s="15" t="n">
        <v>7707.9</v>
      </c>
      <c r="I239" s="16" t="n">
        <v>10.038</v>
      </c>
    </row>
    <row r="240" customFormat="false" ht="15" hidden="false" customHeight="false" outlineLevel="0" collapsed="false">
      <c r="A240" s="10" t="s">
        <v>52</v>
      </c>
      <c r="B240" s="10" t="s">
        <v>70</v>
      </c>
      <c r="C240" s="10" t="s">
        <v>57</v>
      </c>
      <c r="D240" s="10" t="n">
        <v>0.75</v>
      </c>
      <c r="E240" s="10" t="n">
        <v>15</v>
      </c>
      <c r="F240" s="10" t="n">
        <v>1</v>
      </c>
      <c r="G240" s="10" t="n">
        <v>43</v>
      </c>
      <c r="H240" s="11" t="n">
        <v>7720.29</v>
      </c>
      <c r="I240" s="12" t="n">
        <v>10.009</v>
      </c>
    </row>
    <row r="241" customFormat="false" ht="15" hidden="false" customHeight="false" outlineLevel="0" collapsed="false">
      <c r="A241" s="14" t="s">
        <v>52</v>
      </c>
      <c r="B241" s="14" t="s">
        <v>70</v>
      </c>
      <c r="C241" s="14" t="s">
        <v>57</v>
      </c>
      <c r="D241" s="14" t="n">
        <v>0.75</v>
      </c>
      <c r="E241" s="14" t="n">
        <v>15</v>
      </c>
      <c r="F241" s="14" t="n">
        <v>2</v>
      </c>
      <c r="G241" s="14" t="n">
        <v>44</v>
      </c>
      <c r="H241" s="15" t="n">
        <v>7701.16</v>
      </c>
      <c r="I241" s="16" t="n">
        <v>10.04</v>
      </c>
    </row>
    <row r="242" customFormat="false" ht="15" hidden="false" customHeight="false" outlineLevel="0" collapsed="false">
      <c r="A242" s="10" t="s">
        <v>52</v>
      </c>
      <c r="B242" s="10" t="s">
        <v>70</v>
      </c>
      <c r="C242" s="10" t="s">
        <v>53</v>
      </c>
      <c r="D242" s="10" t="n">
        <v>0.9</v>
      </c>
      <c r="E242" s="10" t="n">
        <v>15</v>
      </c>
      <c r="F242" s="10" t="n">
        <v>0</v>
      </c>
      <c r="G242" s="10" t="n">
        <v>42</v>
      </c>
      <c r="H242" s="11" t="n">
        <v>7649.89</v>
      </c>
      <c r="I242" s="12" t="n">
        <v>10.046</v>
      </c>
    </row>
    <row r="243" customFormat="false" ht="15" hidden="false" customHeight="false" outlineLevel="0" collapsed="false">
      <c r="A243" s="14" t="s">
        <v>52</v>
      </c>
      <c r="B243" s="14" t="s">
        <v>70</v>
      </c>
      <c r="C243" s="14" t="s">
        <v>53</v>
      </c>
      <c r="D243" s="14" t="n">
        <v>0.9</v>
      </c>
      <c r="E243" s="14" t="n">
        <v>15</v>
      </c>
      <c r="F243" s="14" t="n">
        <v>1</v>
      </c>
      <c r="G243" s="14" t="n">
        <v>43</v>
      </c>
      <c r="H243" s="15" t="n">
        <v>7756.24</v>
      </c>
      <c r="I243" s="16" t="n">
        <v>10.01</v>
      </c>
    </row>
    <row r="244" customFormat="false" ht="15" hidden="false" customHeight="false" outlineLevel="0" collapsed="false">
      <c r="A244" s="10" t="s">
        <v>52</v>
      </c>
      <c r="B244" s="10" t="s">
        <v>70</v>
      </c>
      <c r="C244" s="10" t="s">
        <v>53</v>
      </c>
      <c r="D244" s="10" t="n">
        <v>0.9</v>
      </c>
      <c r="E244" s="10" t="n">
        <v>15</v>
      </c>
      <c r="F244" s="10" t="n">
        <v>2</v>
      </c>
      <c r="G244" s="10" t="n">
        <v>44</v>
      </c>
      <c r="H244" s="11" t="n">
        <v>7709.91</v>
      </c>
      <c r="I244" s="12" t="n">
        <v>10.022</v>
      </c>
    </row>
    <row r="245" customFormat="false" ht="15" hidden="false" customHeight="false" outlineLevel="0" collapsed="false">
      <c r="A245" s="14" t="s">
        <v>52</v>
      </c>
      <c r="B245" s="14" t="s">
        <v>70</v>
      </c>
      <c r="C245" s="14" t="s">
        <v>54</v>
      </c>
      <c r="D245" s="14" t="n">
        <v>0.9</v>
      </c>
      <c r="E245" s="14" t="n">
        <v>15</v>
      </c>
      <c r="F245" s="14" t="n">
        <v>0</v>
      </c>
      <c r="G245" s="14" t="n">
        <v>42</v>
      </c>
      <c r="H245" s="15" t="n">
        <v>7662.45</v>
      </c>
      <c r="I245" s="16" t="n">
        <v>10.037</v>
      </c>
    </row>
    <row r="246" customFormat="false" ht="15" hidden="false" customHeight="false" outlineLevel="0" collapsed="false">
      <c r="A246" s="10" t="s">
        <v>52</v>
      </c>
      <c r="B246" s="10" t="s">
        <v>70</v>
      </c>
      <c r="C246" s="10" t="s">
        <v>54</v>
      </c>
      <c r="D246" s="10" t="n">
        <v>0.9</v>
      </c>
      <c r="E246" s="10" t="n">
        <v>15</v>
      </c>
      <c r="F246" s="10" t="n">
        <v>1</v>
      </c>
      <c r="G246" s="10" t="n">
        <v>43</v>
      </c>
      <c r="H246" s="11" t="n">
        <v>7755.23</v>
      </c>
      <c r="I246" s="12" t="n">
        <v>10.019</v>
      </c>
    </row>
    <row r="247" customFormat="false" ht="15" hidden="false" customHeight="false" outlineLevel="0" collapsed="false">
      <c r="A247" s="14" t="s">
        <v>52</v>
      </c>
      <c r="B247" s="14" t="s">
        <v>70</v>
      </c>
      <c r="C247" s="14" t="s">
        <v>54</v>
      </c>
      <c r="D247" s="14" t="n">
        <v>0.9</v>
      </c>
      <c r="E247" s="14" t="n">
        <v>15</v>
      </c>
      <c r="F247" s="14" t="n">
        <v>2</v>
      </c>
      <c r="G247" s="14" t="n">
        <v>44</v>
      </c>
      <c r="H247" s="15" t="n">
        <v>7610.7</v>
      </c>
      <c r="I247" s="16" t="n">
        <v>10.052</v>
      </c>
    </row>
    <row r="248" customFormat="false" ht="15" hidden="false" customHeight="false" outlineLevel="0" collapsed="false">
      <c r="A248" s="10" t="s">
        <v>52</v>
      </c>
      <c r="B248" s="10" t="s">
        <v>70</v>
      </c>
      <c r="C248" s="10" t="s">
        <v>55</v>
      </c>
      <c r="D248" s="10" t="n">
        <v>0.9</v>
      </c>
      <c r="E248" s="10" t="n">
        <v>15</v>
      </c>
      <c r="F248" s="10" t="n">
        <v>0</v>
      </c>
      <c r="G248" s="10" t="n">
        <v>42</v>
      </c>
      <c r="H248" s="11" t="n">
        <v>7726.58</v>
      </c>
      <c r="I248" s="12" t="n">
        <v>10.043</v>
      </c>
    </row>
    <row r="249" customFormat="false" ht="15" hidden="false" customHeight="false" outlineLevel="0" collapsed="false">
      <c r="A249" s="14" t="s">
        <v>52</v>
      </c>
      <c r="B249" s="14" t="s">
        <v>70</v>
      </c>
      <c r="C249" s="14" t="s">
        <v>55</v>
      </c>
      <c r="D249" s="14" t="n">
        <v>0.9</v>
      </c>
      <c r="E249" s="14" t="n">
        <v>15</v>
      </c>
      <c r="F249" s="14" t="n">
        <v>1</v>
      </c>
      <c r="G249" s="14" t="n">
        <v>43</v>
      </c>
      <c r="H249" s="15" t="n">
        <v>7682.77</v>
      </c>
      <c r="I249" s="16" t="n">
        <v>10.036</v>
      </c>
    </row>
    <row r="250" customFormat="false" ht="15" hidden="false" customHeight="false" outlineLevel="0" collapsed="false">
      <c r="A250" s="10" t="s">
        <v>52</v>
      </c>
      <c r="B250" s="10" t="s">
        <v>70</v>
      </c>
      <c r="C250" s="10" t="s">
        <v>55</v>
      </c>
      <c r="D250" s="10" t="n">
        <v>0.9</v>
      </c>
      <c r="E250" s="10" t="n">
        <v>15</v>
      </c>
      <c r="F250" s="10" t="n">
        <v>2</v>
      </c>
      <c r="G250" s="10" t="n">
        <v>44</v>
      </c>
      <c r="H250" s="11" t="n">
        <v>7638.54</v>
      </c>
      <c r="I250" s="12" t="n">
        <v>10.008</v>
      </c>
    </row>
    <row r="251" customFormat="false" ht="15" hidden="false" customHeight="false" outlineLevel="0" collapsed="false">
      <c r="A251" s="14" t="s">
        <v>52</v>
      </c>
      <c r="B251" s="14" t="s">
        <v>70</v>
      </c>
      <c r="C251" s="14" t="s">
        <v>56</v>
      </c>
      <c r="D251" s="14" t="n">
        <v>0.9</v>
      </c>
      <c r="E251" s="14" t="n">
        <v>15</v>
      </c>
      <c r="F251" s="14" t="n">
        <v>0</v>
      </c>
      <c r="G251" s="14" t="n">
        <v>42</v>
      </c>
      <c r="H251" s="15" t="n">
        <v>7711.79</v>
      </c>
      <c r="I251" s="16" t="n">
        <v>10.034</v>
      </c>
    </row>
    <row r="252" customFormat="false" ht="15" hidden="false" customHeight="false" outlineLevel="0" collapsed="false">
      <c r="A252" s="10" t="s">
        <v>52</v>
      </c>
      <c r="B252" s="10" t="s">
        <v>70</v>
      </c>
      <c r="C252" s="10" t="s">
        <v>56</v>
      </c>
      <c r="D252" s="10" t="n">
        <v>0.9</v>
      </c>
      <c r="E252" s="10" t="n">
        <v>15</v>
      </c>
      <c r="F252" s="10" t="n">
        <v>1</v>
      </c>
      <c r="G252" s="10" t="n">
        <v>43</v>
      </c>
      <c r="H252" s="11" t="n">
        <v>7696.73</v>
      </c>
      <c r="I252" s="12" t="n">
        <v>10.014</v>
      </c>
    </row>
    <row r="253" customFormat="false" ht="15" hidden="false" customHeight="false" outlineLevel="0" collapsed="false">
      <c r="A253" s="14" t="s">
        <v>52</v>
      </c>
      <c r="B253" s="14" t="s">
        <v>70</v>
      </c>
      <c r="C253" s="14" t="s">
        <v>56</v>
      </c>
      <c r="D253" s="14" t="n">
        <v>0.9</v>
      </c>
      <c r="E253" s="14" t="n">
        <v>15</v>
      </c>
      <c r="F253" s="14" t="n">
        <v>2</v>
      </c>
      <c r="G253" s="14" t="n">
        <v>44</v>
      </c>
      <c r="H253" s="15" t="n">
        <v>7642.04</v>
      </c>
      <c r="I253" s="16" t="n">
        <v>10.017</v>
      </c>
    </row>
    <row r="254" customFormat="false" ht="15" hidden="false" customHeight="false" outlineLevel="0" collapsed="false">
      <c r="A254" s="10" t="s">
        <v>52</v>
      </c>
      <c r="B254" s="10" t="s">
        <v>70</v>
      </c>
      <c r="C254" s="10" t="s">
        <v>57</v>
      </c>
      <c r="D254" s="10" t="n">
        <v>0.9</v>
      </c>
      <c r="E254" s="10" t="n">
        <v>15</v>
      </c>
      <c r="F254" s="10" t="n">
        <v>0</v>
      </c>
      <c r="G254" s="10" t="n">
        <v>42</v>
      </c>
      <c r="H254" s="11" t="n">
        <v>7765.68</v>
      </c>
      <c r="I254" s="12" t="n">
        <v>10.03</v>
      </c>
    </row>
    <row r="255" customFormat="false" ht="15" hidden="false" customHeight="false" outlineLevel="0" collapsed="false">
      <c r="A255" s="14" t="s">
        <v>52</v>
      </c>
      <c r="B255" s="14" t="s">
        <v>70</v>
      </c>
      <c r="C255" s="14" t="s">
        <v>57</v>
      </c>
      <c r="D255" s="14" t="n">
        <v>0.9</v>
      </c>
      <c r="E255" s="14" t="n">
        <v>15</v>
      </c>
      <c r="F255" s="14" t="n">
        <v>1</v>
      </c>
      <c r="G255" s="14" t="n">
        <v>43</v>
      </c>
      <c r="H255" s="15" t="n">
        <v>7725.98</v>
      </c>
      <c r="I255" s="16" t="n">
        <v>10.013</v>
      </c>
    </row>
    <row r="256" customFormat="false" ht="15" hidden="false" customHeight="false" outlineLevel="0" collapsed="false">
      <c r="A256" s="10" t="s">
        <v>52</v>
      </c>
      <c r="B256" s="10" t="s">
        <v>70</v>
      </c>
      <c r="C256" s="10" t="s">
        <v>57</v>
      </c>
      <c r="D256" s="10" t="n">
        <v>0.9</v>
      </c>
      <c r="E256" s="10" t="n">
        <v>15</v>
      </c>
      <c r="F256" s="10" t="n">
        <v>2</v>
      </c>
      <c r="G256" s="10" t="n">
        <v>44</v>
      </c>
      <c r="H256" s="11" t="n">
        <v>7780.22</v>
      </c>
      <c r="I256" s="12" t="n">
        <v>10.041</v>
      </c>
    </row>
    <row r="257" customFormat="false" ht="15" hidden="false" customHeight="false" outlineLevel="0" collapsed="false">
      <c r="A257" s="14" t="s">
        <v>52</v>
      </c>
      <c r="B257" s="14" t="s">
        <v>70</v>
      </c>
      <c r="C257" s="14" t="s">
        <v>53</v>
      </c>
      <c r="D257" s="14" t="s">
        <v>51</v>
      </c>
      <c r="E257" s="14" t="n">
        <v>15</v>
      </c>
      <c r="F257" s="14" t="n">
        <v>0</v>
      </c>
      <c r="G257" s="14" t="n">
        <v>42</v>
      </c>
      <c r="H257" s="15" t="n">
        <v>7710.04</v>
      </c>
      <c r="I257" s="16" t="n">
        <v>10.048</v>
      </c>
    </row>
    <row r="258" customFormat="false" ht="15" hidden="false" customHeight="false" outlineLevel="0" collapsed="false">
      <c r="A258" s="10" t="s">
        <v>52</v>
      </c>
      <c r="B258" s="10" t="s">
        <v>70</v>
      </c>
      <c r="C258" s="10" t="s">
        <v>53</v>
      </c>
      <c r="D258" s="10" t="s">
        <v>51</v>
      </c>
      <c r="E258" s="10" t="n">
        <v>15</v>
      </c>
      <c r="F258" s="10" t="n">
        <v>1</v>
      </c>
      <c r="G258" s="10" t="n">
        <v>43</v>
      </c>
      <c r="H258" s="11" t="n">
        <v>7607.59</v>
      </c>
      <c r="I258" s="12" t="n">
        <v>10.019</v>
      </c>
    </row>
    <row r="259" customFormat="false" ht="15" hidden="false" customHeight="false" outlineLevel="0" collapsed="false">
      <c r="A259" s="14" t="s">
        <v>52</v>
      </c>
      <c r="B259" s="14" t="s">
        <v>70</v>
      </c>
      <c r="C259" s="14" t="s">
        <v>53</v>
      </c>
      <c r="D259" s="14" t="s">
        <v>51</v>
      </c>
      <c r="E259" s="14" t="n">
        <v>15</v>
      </c>
      <c r="F259" s="14" t="n">
        <v>2</v>
      </c>
      <c r="G259" s="14" t="n">
        <v>44</v>
      </c>
      <c r="H259" s="15" t="n">
        <v>7694.32</v>
      </c>
      <c r="I259" s="16" t="n">
        <v>10.02</v>
      </c>
    </row>
    <row r="260" customFormat="false" ht="15" hidden="false" customHeight="false" outlineLevel="0" collapsed="false">
      <c r="A260" s="10" t="s">
        <v>52</v>
      </c>
      <c r="B260" s="10" t="s">
        <v>70</v>
      </c>
      <c r="C260" s="10" t="s">
        <v>54</v>
      </c>
      <c r="D260" s="10" t="s">
        <v>51</v>
      </c>
      <c r="E260" s="10" t="n">
        <v>15</v>
      </c>
      <c r="F260" s="10" t="n">
        <v>0</v>
      </c>
      <c r="G260" s="10" t="n">
        <v>42</v>
      </c>
      <c r="H260" s="11" t="n">
        <v>7631.45</v>
      </c>
      <c r="I260" s="12" t="n">
        <v>10.01</v>
      </c>
    </row>
    <row r="261" customFormat="false" ht="15" hidden="false" customHeight="false" outlineLevel="0" collapsed="false">
      <c r="A261" s="14" t="s">
        <v>52</v>
      </c>
      <c r="B261" s="14" t="s">
        <v>70</v>
      </c>
      <c r="C261" s="14" t="s">
        <v>54</v>
      </c>
      <c r="D261" s="14" t="s">
        <v>51</v>
      </c>
      <c r="E261" s="14" t="n">
        <v>15</v>
      </c>
      <c r="F261" s="14" t="n">
        <v>1</v>
      </c>
      <c r="G261" s="14" t="n">
        <v>43</v>
      </c>
      <c r="H261" s="15" t="n">
        <v>7680.73</v>
      </c>
      <c r="I261" s="16" t="n">
        <v>10.01</v>
      </c>
    </row>
    <row r="262" customFormat="false" ht="15" hidden="false" customHeight="false" outlineLevel="0" collapsed="false">
      <c r="A262" s="10" t="s">
        <v>52</v>
      </c>
      <c r="B262" s="10" t="s">
        <v>70</v>
      </c>
      <c r="C262" s="10" t="s">
        <v>54</v>
      </c>
      <c r="D262" s="10" t="s">
        <v>51</v>
      </c>
      <c r="E262" s="10" t="n">
        <v>15</v>
      </c>
      <c r="F262" s="10" t="n">
        <v>2</v>
      </c>
      <c r="G262" s="10" t="n">
        <v>44</v>
      </c>
      <c r="H262" s="11" t="n">
        <v>7648.65</v>
      </c>
      <c r="I262" s="12" t="n">
        <v>10.042</v>
      </c>
    </row>
    <row r="263" customFormat="false" ht="15" hidden="false" customHeight="false" outlineLevel="0" collapsed="false">
      <c r="A263" s="14" t="s">
        <v>52</v>
      </c>
      <c r="B263" s="14" t="s">
        <v>70</v>
      </c>
      <c r="C263" s="14" t="s">
        <v>55</v>
      </c>
      <c r="D263" s="14" t="s">
        <v>51</v>
      </c>
      <c r="E263" s="14" t="n">
        <v>15</v>
      </c>
      <c r="F263" s="14" t="n">
        <v>0</v>
      </c>
      <c r="G263" s="14" t="n">
        <v>42</v>
      </c>
      <c r="H263" s="15" t="n">
        <v>7663.42</v>
      </c>
      <c r="I263" s="16" t="n">
        <v>10.028</v>
      </c>
    </row>
    <row r="264" customFormat="false" ht="15" hidden="false" customHeight="false" outlineLevel="0" collapsed="false">
      <c r="A264" s="10" t="s">
        <v>52</v>
      </c>
      <c r="B264" s="10" t="s">
        <v>70</v>
      </c>
      <c r="C264" s="10" t="s">
        <v>55</v>
      </c>
      <c r="D264" s="10" t="s">
        <v>51</v>
      </c>
      <c r="E264" s="10" t="n">
        <v>15</v>
      </c>
      <c r="F264" s="10" t="n">
        <v>1</v>
      </c>
      <c r="G264" s="10" t="n">
        <v>43</v>
      </c>
      <c r="H264" s="11" t="n">
        <v>7684.24</v>
      </c>
      <c r="I264" s="12" t="n">
        <v>10.04</v>
      </c>
    </row>
    <row r="265" customFormat="false" ht="15" hidden="false" customHeight="false" outlineLevel="0" collapsed="false">
      <c r="A265" s="14" t="s">
        <v>52</v>
      </c>
      <c r="B265" s="14" t="s">
        <v>70</v>
      </c>
      <c r="C265" s="14" t="s">
        <v>55</v>
      </c>
      <c r="D265" s="14" t="s">
        <v>51</v>
      </c>
      <c r="E265" s="14" t="n">
        <v>15</v>
      </c>
      <c r="F265" s="14" t="n">
        <v>2</v>
      </c>
      <c r="G265" s="14" t="n">
        <v>44</v>
      </c>
      <c r="H265" s="15" t="n">
        <v>7678.78</v>
      </c>
      <c r="I265" s="16" t="n">
        <v>10.05</v>
      </c>
    </row>
    <row r="266" customFormat="false" ht="15" hidden="false" customHeight="false" outlineLevel="0" collapsed="false">
      <c r="A266" s="10" t="s">
        <v>52</v>
      </c>
      <c r="B266" s="10" t="s">
        <v>70</v>
      </c>
      <c r="C266" s="10" t="s">
        <v>56</v>
      </c>
      <c r="D266" s="10" t="s">
        <v>51</v>
      </c>
      <c r="E266" s="10" t="n">
        <v>15</v>
      </c>
      <c r="F266" s="10" t="n">
        <v>0</v>
      </c>
      <c r="G266" s="10" t="n">
        <v>42</v>
      </c>
      <c r="H266" s="11" t="n">
        <v>7728.01</v>
      </c>
      <c r="I266" s="12" t="n">
        <v>10.02</v>
      </c>
    </row>
    <row r="267" customFormat="false" ht="15" hidden="false" customHeight="false" outlineLevel="0" collapsed="false">
      <c r="A267" s="14" t="s">
        <v>52</v>
      </c>
      <c r="B267" s="14" t="s">
        <v>70</v>
      </c>
      <c r="C267" s="14" t="s">
        <v>56</v>
      </c>
      <c r="D267" s="14" t="s">
        <v>51</v>
      </c>
      <c r="E267" s="14" t="n">
        <v>15</v>
      </c>
      <c r="F267" s="14" t="n">
        <v>1</v>
      </c>
      <c r="G267" s="14" t="n">
        <v>43</v>
      </c>
      <c r="H267" s="15" t="n">
        <v>7637.94</v>
      </c>
      <c r="I267" s="16" t="n">
        <v>10.042</v>
      </c>
    </row>
    <row r="268" customFormat="false" ht="15" hidden="false" customHeight="false" outlineLevel="0" collapsed="false">
      <c r="A268" s="10" t="s">
        <v>52</v>
      </c>
      <c r="B268" s="10" t="s">
        <v>70</v>
      </c>
      <c r="C268" s="10" t="s">
        <v>56</v>
      </c>
      <c r="D268" s="10" t="s">
        <v>51</v>
      </c>
      <c r="E268" s="10" t="n">
        <v>15</v>
      </c>
      <c r="F268" s="10" t="n">
        <v>2</v>
      </c>
      <c r="G268" s="10" t="n">
        <v>44</v>
      </c>
      <c r="H268" s="11" t="n">
        <v>7716.39</v>
      </c>
      <c r="I268" s="12" t="n">
        <v>10.045</v>
      </c>
    </row>
    <row r="269" customFormat="false" ht="15" hidden="false" customHeight="false" outlineLevel="0" collapsed="false">
      <c r="A269" s="14" t="s">
        <v>52</v>
      </c>
      <c r="B269" s="14" t="s">
        <v>70</v>
      </c>
      <c r="C269" s="14" t="s">
        <v>57</v>
      </c>
      <c r="D269" s="14" t="s">
        <v>51</v>
      </c>
      <c r="E269" s="14" t="n">
        <v>15</v>
      </c>
      <c r="F269" s="14" t="n">
        <v>0</v>
      </c>
      <c r="G269" s="14" t="n">
        <v>42</v>
      </c>
      <c r="H269" s="15" t="n">
        <v>7732.33</v>
      </c>
      <c r="I269" s="16" t="n">
        <v>10.038</v>
      </c>
    </row>
    <row r="270" customFormat="false" ht="15" hidden="false" customHeight="false" outlineLevel="0" collapsed="false">
      <c r="A270" s="10" t="s">
        <v>52</v>
      </c>
      <c r="B270" s="10" t="s">
        <v>70</v>
      </c>
      <c r="C270" s="10" t="s">
        <v>57</v>
      </c>
      <c r="D270" s="10" t="s">
        <v>51</v>
      </c>
      <c r="E270" s="10" t="n">
        <v>15</v>
      </c>
      <c r="F270" s="10" t="n">
        <v>1</v>
      </c>
      <c r="G270" s="10" t="n">
        <v>43</v>
      </c>
      <c r="H270" s="11" t="n">
        <v>7698.01</v>
      </c>
      <c r="I270" s="12" t="n">
        <v>10.032</v>
      </c>
    </row>
    <row r="271" customFormat="false" ht="15" hidden="false" customHeight="false" outlineLevel="0" collapsed="false">
      <c r="A271" s="14" t="s">
        <v>52</v>
      </c>
      <c r="B271" s="14" t="s">
        <v>70</v>
      </c>
      <c r="C271" s="14" t="s">
        <v>57</v>
      </c>
      <c r="D271" s="14" t="s">
        <v>51</v>
      </c>
      <c r="E271" s="14" t="n">
        <v>15</v>
      </c>
      <c r="F271" s="14" t="n">
        <v>2</v>
      </c>
      <c r="G271" s="14" t="n">
        <v>44</v>
      </c>
      <c r="H271" s="15" t="n">
        <v>7699.42</v>
      </c>
      <c r="I271" s="16" t="n">
        <v>10.024</v>
      </c>
    </row>
    <row r="272" customFormat="false" ht="15" hidden="false" customHeight="false" outlineLevel="0" collapsed="false">
      <c r="A272" s="10" t="s">
        <v>52</v>
      </c>
      <c r="B272" s="10" t="s">
        <v>71</v>
      </c>
      <c r="C272" s="10" t="s">
        <v>53</v>
      </c>
      <c r="D272" s="10" t="n">
        <v>0.9</v>
      </c>
      <c r="E272" s="10" t="n">
        <v>5</v>
      </c>
      <c r="F272" s="10" t="n">
        <v>0</v>
      </c>
      <c r="G272" s="10" t="n">
        <v>42</v>
      </c>
      <c r="H272" s="11" t="n">
        <v>7679.13</v>
      </c>
      <c r="I272" s="12" t="n">
        <v>10.072</v>
      </c>
    </row>
    <row r="273" customFormat="false" ht="15" hidden="false" customHeight="false" outlineLevel="0" collapsed="false">
      <c r="A273" s="14" t="s">
        <v>52</v>
      </c>
      <c r="B273" s="14" t="s">
        <v>71</v>
      </c>
      <c r="C273" s="14" t="s">
        <v>53</v>
      </c>
      <c r="D273" s="14" t="n">
        <v>0.9</v>
      </c>
      <c r="E273" s="14" t="n">
        <v>5</v>
      </c>
      <c r="F273" s="14" t="n">
        <v>1</v>
      </c>
      <c r="G273" s="14" t="n">
        <v>43</v>
      </c>
      <c r="H273" s="15" t="n">
        <v>7756.24</v>
      </c>
      <c r="I273" s="16" t="n">
        <v>10.037</v>
      </c>
    </row>
    <row r="274" customFormat="false" ht="15" hidden="false" customHeight="false" outlineLevel="0" collapsed="false">
      <c r="A274" s="10" t="s">
        <v>52</v>
      </c>
      <c r="B274" s="10" t="s">
        <v>71</v>
      </c>
      <c r="C274" s="10" t="s">
        <v>53</v>
      </c>
      <c r="D274" s="10" t="n">
        <v>0.9</v>
      </c>
      <c r="E274" s="10" t="n">
        <v>5</v>
      </c>
      <c r="F274" s="10" t="n">
        <v>2</v>
      </c>
      <c r="G274" s="10" t="n">
        <v>44</v>
      </c>
      <c r="H274" s="11" t="n">
        <v>7694.15</v>
      </c>
      <c r="I274" s="12" t="n">
        <v>10.004</v>
      </c>
    </row>
    <row r="275" customFormat="false" ht="15" hidden="false" customHeight="false" outlineLevel="0" collapsed="false">
      <c r="A275" s="14" t="s">
        <v>52</v>
      </c>
      <c r="B275" s="14" t="s">
        <v>71</v>
      </c>
      <c r="C275" s="14" t="s">
        <v>54</v>
      </c>
      <c r="D275" s="14" t="n">
        <v>0.9</v>
      </c>
      <c r="E275" s="14" t="n">
        <v>5</v>
      </c>
      <c r="F275" s="14" t="n">
        <v>0</v>
      </c>
      <c r="G275" s="14" t="n">
        <v>42</v>
      </c>
      <c r="H275" s="15" t="n">
        <v>7662.45</v>
      </c>
      <c r="I275" s="16" t="n">
        <v>10.034</v>
      </c>
    </row>
    <row r="276" customFormat="false" ht="15" hidden="false" customHeight="false" outlineLevel="0" collapsed="false">
      <c r="A276" s="10" t="s">
        <v>52</v>
      </c>
      <c r="B276" s="10" t="s">
        <v>71</v>
      </c>
      <c r="C276" s="10" t="s">
        <v>54</v>
      </c>
      <c r="D276" s="10" t="n">
        <v>0.9</v>
      </c>
      <c r="E276" s="10" t="n">
        <v>5</v>
      </c>
      <c r="F276" s="10" t="n">
        <v>1</v>
      </c>
      <c r="G276" s="10" t="n">
        <v>43</v>
      </c>
      <c r="H276" s="11" t="n">
        <v>7711.42</v>
      </c>
      <c r="I276" s="12" t="n">
        <v>10.04</v>
      </c>
    </row>
    <row r="277" customFormat="false" ht="15" hidden="false" customHeight="false" outlineLevel="0" collapsed="false">
      <c r="A277" s="14" t="s">
        <v>52</v>
      </c>
      <c r="B277" s="14" t="s">
        <v>71</v>
      </c>
      <c r="C277" s="14" t="s">
        <v>54</v>
      </c>
      <c r="D277" s="14" t="n">
        <v>0.9</v>
      </c>
      <c r="E277" s="14" t="n">
        <v>5</v>
      </c>
      <c r="F277" s="14" t="n">
        <v>2</v>
      </c>
      <c r="G277" s="14" t="n">
        <v>44</v>
      </c>
      <c r="H277" s="15" t="n">
        <v>7578.52</v>
      </c>
      <c r="I277" s="16" t="n">
        <v>10.049</v>
      </c>
    </row>
    <row r="278" customFormat="false" ht="15" hidden="false" customHeight="false" outlineLevel="0" collapsed="false">
      <c r="A278" s="10" t="s">
        <v>52</v>
      </c>
      <c r="B278" s="10" t="s">
        <v>71</v>
      </c>
      <c r="C278" s="10" t="s">
        <v>55</v>
      </c>
      <c r="D278" s="10" t="n">
        <v>0.9</v>
      </c>
      <c r="E278" s="10" t="n">
        <v>5</v>
      </c>
      <c r="F278" s="10" t="n">
        <v>0</v>
      </c>
      <c r="G278" s="10" t="n">
        <v>42</v>
      </c>
      <c r="H278" s="11" t="n">
        <v>7726.58</v>
      </c>
      <c r="I278" s="12" t="n">
        <v>10.019</v>
      </c>
    </row>
    <row r="279" customFormat="false" ht="15" hidden="false" customHeight="false" outlineLevel="0" collapsed="false">
      <c r="A279" s="14" t="s">
        <v>52</v>
      </c>
      <c r="B279" s="14" t="s">
        <v>71</v>
      </c>
      <c r="C279" s="14" t="s">
        <v>55</v>
      </c>
      <c r="D279" s="14" t="n">
        <v>0.9</v>
      </c>
      <c r="E279" s="14" t="n">
        <v>5</v>
      </c>
      <c r="F279" s="14" t="n">
        <v>1</v>
      </c>
      <c r="G279" s="14" t="n">
        <v>43</v>
      </c>
      <c r="H279" s="15" t="n">
        <v>7681.28</v>
      </c>
      <c r="I279" s="16" t="n">
        <v>10.009</v>
      </c>
    </row>
    <row r="280" customFormat="false" ht="15" hidden="false" customHeight="false" outlineLevel="0" collapsed="false">
      <c r="A280" s="10" t="s">
        <v>52</v>
      </c>
      <c r="B280" s="10" t="s">
        <v>71</v>
      </c>
      <c r="C280" s="10" t="s">
        <v>55</v>
      </c>
      <c r="D280" s="10" t="n">
        <v>0.9</v>
      </c>
      <c r="E280" s="10" t="n">
        <v>5</v>
      </c>
      <c r="F280" s="10" t="n">
        <v>2</v>
      </c>
      <c r="G280" s="10" t="n">
        <v>44</v>
      </c>
      <c r="H280" s="11" t="n">
        <v>7651.19</v>
      </c>
      <c r="I280" s="12" t="n">
        <v>10.005</v>
      </c>
    </row>
    <row r="281" customFormat="false" ht="15" hidden="false" customHeight="false" outlineLevel="0" collapsed="false">
      <c r="A281" s="14" t="s">
        <v>52</v>
      </c>
      <c r="B281" s="14" t="s">
        <v>71</v>
      </c>
      <c r="C281" s="14" t="s">
        <v>56</v>
      </c>
      <c r="D281" s="14" t="n">
        <v>0.9</v>
      </c>
      <c r="E281" s="14" t="n">
        <v>5</v>
      </c>
      <c r="F281" s="14" t="n">
        <v>0</v>
      </c>
      <c r="G281" s="14" t="n">
        <v>42</v>
      </c>
      <c r="H281" s="15" t="n">
        <v>7732.88</v>
      </c>
      <c r="I281" s="16" t="n">
        <v>10.028</v>
      </c>
    </row>
    <row r="282" customFormat="false" ht="15" hidden="false" customHeight="false" outlineLevel="0" collapsed="false">
      <c r="A282" s="10" t="s">
        <v>52</v>
      </c>
      <c r="B282" s="10" t="s">
        <v>71</v>
      </c>
      <c r="C282" s="10" t="s">
        <v>56</v>
      </c>
      <c r="D282" s="10" t="n">
        <v>0.9</v>
      </c>
      <c r="E282" s="10" t="n">
        <v>5</v>
      </c>
      <c r="F282" s="10" t="n">
        <v>1</v>
      </c>
      <c r="G282" s="10" t="n">
        <v>43</v>
      </c>
      <c r="H282" s="11" t="n">
        <v>7696.73</v>
      </c>
      <c r="I282" s="12" t="n">
        <v>10.01</v>
      </c>
    </row>
    <row r="283" customFormat="false" ht="15" hidden="false" customHeight="false" outlineLevel="0" collapsed="false">
      <c r="A283" s="14" t="s">
        <v>52</v>
      </c>
      <c r="B283" s="14" t="s">
        <v>71</v>
      </c>
      <c r="C283" s="14" t="s">
        <v>56</v>
      </c>
      <c r="D283" s="14" t="n">
        <v>0.9</v>
      </c>
      <c r="E283" s="14" t="n">
        <v>5</v>
      </c>
      <c r="F283" s="14" t="n">
        <v>2</v>
      </c>
      <c r="G283" s="14" t="n">
        <v>44</v>
      </c>
      <c r="H283" s="15" t="n">
        <v>7602.78</v>
      </c>
      <c r="I283" s="16" t="n">
        <v>10.02</v>
      </c>
    </row>
    <row r="284" customFormat="false" ht="15" hidden="false" customHeight="false" outlineLevel="0" collapsed="false">
      <c r="A284" s="10" t="s">
        <v>52</v>
      </c>
      <c r="B284" s="10" t="s">
        <v>71</v>
      </c>
      <c r="C284" s="10" t="s">
        <v>57</v>
      </c>
      <c r="D284" s="10" t="n">
        <v>0.9</v>
      </c>
      <c r="E284" s="10" t="n">
        <v>5</v>
      </c>
      <c r="F284" s="10" t="n">
        <v>0</v>
      </c>
      <c r="G284" s="10" t="n">
        <v>42</v>
      </c>
      <c r="H284" s="11" t="n">
        <v>7740.16</v>
      </c>
      <c r="I284" s="12" t="n">
        <v>10.046</v>
      </c>
    </row>
    <row r="285" customFormat="false" ht="15" hidden="false" customHeight="false" outlineLevel="0" collapsed="false">
      <c r="A285" s="14" t="s">
        <v>52</v>
      </c>
      <c r="B285" s="14" t="s">
        <v>71</v>
      </c>
      <c r="C285" s="14" t="s">
        <v>57</v>
      </c>
      <c r="D285" s="14" t="n">
        <v>0.9</v>
      </c>
      <c r="E285" s="14" t="n">
        <v>5</v>
      </c>
      <c r="F285" s="14" t="n">
        <v>1</v>
      </c>
      <c r="G285" s="14" t="n">
        <v>43</v>
      </c>
      <c r="H285" s="15" t="n">
        <v>7732.65</v>
      </c>
      <c r="I285" s="16" t="n">
        <v>10.018</v>
      </c>
    </row>
    <row r="286" customFormat="false" ht="15" hidden="false" customHeight="false" outlineLevel="0" collapsed="false">
      <c r="A286" s="10" t="s">
        <v>52</v>
      </c>
      <c r="B286" s="10" t="s">
        <v>71</v>
      </c>
      <c r="C286" s="10" t="s">
        <v>57</v>
      </c>
      <c r="D286" s="10" t="n">
        <v>0.9</v>
      </c>
      <c r="E286" s="10" t="n">
        <v>5</v>
      </c>
      <c r="F286" s="10" t="n">
        <v>2</v>
      </c>
      <c r="G286" s="10" t="n">
        <v>44</v>
      </c>
      <c r="H286" s="11" t="n">
        <v>7619.12</v>
      </c>
      <c r="I286" s="12" t="n">
        <v>10.039</v>
      </c>
    </row>
    <row r="287" customFormat="false" ht="15" hidden="false" customHeight="false" outlineLevel="0" collapsed="false">
      <c r="A287" s="14" t="s">
        <v>52</v>
      </c>
      <c r="B287" s="14" t="s">
        <v>71</v>
      </c>
      <c r="C287" s="14" t="s">
        <v>53</v>
      </c>
      <c r="D287" s="14" t="n">
        <v>0.9</v>
      </c>
      <c r="E287" s="14" t="n">
        <v>10</v>
      </c>
      <c r="F287" s="14" t="n">
        <v>0</v>
      </c>
      <c r="G287" s="14" t="n">
        <v>42</v>
      </c>
      <c r="H287" s="15" t="n">
        <v>7632.42</v>
      </c>
      <c r="I287" s="16" t="n">
        <v>10.009</v>
      </c>
    </row>
    <row r="288" customFormat="false" ht="15" hidden="false" customHeight="false" outlineLevel="0" collapsed="false">
      <c r="A288" s="10" t="s">
        <v>52</v>
      </c>
      <c r="B288" s="10" t="s">
        <v>71</v>
      </c>
      <c r="C288" s="10" t="s">
        <v>53</v>
      </c>
      <c r="D288" s="10" t="n">
        <v>0.9</v>
      </c>
      <c r="E288" s="10" t="n">
        <v>10</v>
      </c>
      <c r="F288" s="10" t="n">
        <v>1</v>
      </c>
      <c r="G288" s="10" t="n">
        <v>43</v>
      </c>
      <c r="H288" s="11" t="n">
        <v>7756.24</v>
      </c>
      <c r="I288" s="12" t="n">
        <v>10.007</v>
      </c>
    </row>
    <row r="289" customFormat="false" ht="15" hidden="false" customHeight="false" outlineLevel="0" collapsed="false">
      <c r="A289" s="14" t="s">
        <v>52</v>
      </c>
      <c r="B289" s="14" t="s">
        <v>71</v>
      </c>
      <c r="C289" s="14" t="s">
        <v>53</v>
      </c>
      <c r="D289" s="14" t="n">
        <v>0.9</v>
      </c>
      <c r="E289" s="14" t="n">
        <v>10</v>
      </c>
      <c r="F289" s="14" t="n">
        <v>2</v>
      </c>
      <c r="G289" s="14" t="n">
        <v>44</v>
      </c>
      <c r="H289" s="15" t="n">
        <v>7688.36</v>
      </c>
      <c r="I289" s="16" t="n">
        <v>10.049</v>
      </c>
    </row>
    <row r="290" customFormat="false" ht="15" hidden="false" customHeight="false" outlineLevel="0" collapsed="false">
      <c r="A290" s="10" t="s">
        <v>52</v>
      </c>
      <c r="B290" s="10" t="s">
        <v>71</v>
      </c>
      <c r="C290" s="10" t="s">
        <v>54</v>
      </c>
      <c r="D290" s="10" t="n">
        <v>0.9</v>
      </c>
      <c r="E290" s="10" t="n">
        <v>10</v>
      </c>
      <c r="F290" s="10" t="n">
        <v>0</v>
      </c>
      <c r="G290" s="10" t="n">
        <v>42</v>
      </c>
      <c r="H290" s="11" t="n">
        <v>7662.45</v>
      </c>
      <c r="I290" s="12" t="n">
        <v>10.03</v>
      </c>
    </row>
    <row r="291" customFormat="false" ht="15" hidden="false" customHeight="false" outlineLevel="0" collapsed="false">
      <c r="A291" s="14" t="s">
        <v>52</v>
      </c>
      <c r="B291" s="14" t="s">
        <v>71</v>
      </c>
      <c r="C291" s="14" t="s">
        <v>54</v>
      </c>
      <c r="D291" s="14" t="n">
        <v>0.9</v>
      </c>
      <c r="E291" s="14" t="n">
        <v>10</v>
      </c>
      <c r="F291" s="14" t="n">
        <v>1</v>
      </c>
      <c r="G291" s="14" t="n">
        <v>43</v>
      </c>
      <c r="H291" s="15" t="n">
        <v>7755.23</v>
      </c>
      <c r="I291" s="16" t="n">
        <v>10.015</v>
      </c>
    </row>
    <row r="292" customFormat="false" ht="15" hidden="false" customHeight="false" outlineLevel="0" collapsed="false">
      <c r="A292" s="10" t="s">
        <v>52</v>
      </c>
      <c r="B292" s="10" t="s">
        <v>71</v>
      </c>
      <c r="C292" s="10" t="s">
        <v>54</v>
      </c>
      <c r="D292" s="10" t="n">
        <v>0.9</v>
      </c>
      <c r="E292" s="10" t="n">
        <v>10</v>
      </c>
      <c r="F292" s="10" t="n">
        <v>2</v>
      </c>
      <c r="G292" s="10" t="n">
        <v>44</v>
      </c>
      <c r="H292" s="11" t="n">
        <v>7578.52</v>
      </c>
      <c r="I292" s="12" t="n">
        <v>10.033</v>
      </c>
    </row>
    <row r="293" customFormat="false" ht="15" hidden="false" customHeight="false" outlineLevel="0" collapsed="false">
      <c r="A293" s="14" t="s">
        <v>52</v>
      </c>
      <c r="B293" s="14" t="s">
        <v>71</v>
      </c>
      <c r="C293" s="14" t="s">
        <v>55</v>
      </c>
      <c r="D293" s="14" t="n">
        <v>0.9</v>
      </c>
      <c r="E293" s="14" t="n">
        <v>10</v>
      </c>
      <c r="F293" s="14" t="n">
        <v>0</v>
      </c>
      <c r="G293" s="14" t="n">
        <v>42</v>
      </c>
      <c r="H293" s="15" t="n">
        <v>7726.58</v>
      </c>
      <c r="I293" s="16" t="n">
        <v>10.014</v>
      </c>
    </row>
    <row r="294" customFormat="false" ht="15" hidden="false" customHeight="false" outlineLevel="0" collapsed="false">
      <c r="A294" s="10" t="s">
        <v>52</v>
      </c>
      <c r="B294" s="10" t="s">
        <v>71</v>
      </c>
      <c r="C294" s="10" t="s">
        <v>55</v>
      </c>
      <c r="D294" s="10" t="n">
        <v>0.9</v>
      </c>
      <c r="E294" s="10" t="n">
        <v>10</v>
      </c>
      <c r="F294" s="10" t="n">
        <v>1</v>
      </c>
      <c r="G294" s="10" t="n">
        <v>43</v>
      </c>
      <c r="H294" s="11" t="n">
        <v>7684.76</v>
      </c>
      <c r="I294" s="12" t="n">
        <v>10.005</v>
      </c>
    </row>
    <row r="295" customFormat="false" ht="15" hidden="false" customHeight="false" outlineLevel="0" collapsed="false">
      <c r="A295" s="14" t="s">
        <v>52</v>
      </c>
      <c r="B295" s="14" t="s">
        <v>71</v>
      </c>
      <c r="C295" s="14" t="s">
        <v>55</v>
      </c>
      <c r="D295" s="14" t="n">
        <v>0.9</v>
      </c>
      <c r="E295" s="14" t="n">
        <v>10</v>
      </c>
      <c r="F295" s="14" t="n">
        <v>2</v>
      </c>
      <c r="G295" s="14" t="n">
        <v>44</v>
      </c>
      <c r="H295" s="15" t="n">
        <v>7690.74</v>
      </c>
      <c r="I295" s="16" t="n">
        <v>10.05</v>
      </c>
    </row>
    <row r="296" customFormat="false" ht="15" hidden="false" customHeight="false" outlineLevel="0" collapsed="false">
      <c r="A296" s="10" t="s">
        <v>52</v>
      </c>
      <c r="B296" s="10" t="s">
        <v>71</v>
      </c>
      <c r="C296" s="10" t="s">
        <v>56</v>
      </c>
      <c r="D296" s="10" t="n">
        <v>0.9</v>
      </c>
      <c r="E296" s="10" t="n">
        <v>10</v>
      </c>
      <c r="F296" s="10" t="n">
        <v>0</v>
      </c>
      <c r="G296" s="10" t="n">
        <v>42</v>
      </c>
      <c r="H296" s="11" t="n">
        <v>7722.8</v>
      </c>
      <c r="I296" s="12" t="n">
        <v>10.022</v>
      </c>
    </row>
    <row r="297" customFormat="false" ht="15" hidden="false" customHeight="false" outlineLevel="0" collapsed="false">
      <c r="A297" s="14" t="s">
        <v>52</v>
      </c>
      <c r="B297" s="14" t="s">
        <v>71</v>
      </c>
      <c r="C297" s="14" t="s">
        <v>56</v>
      </c>
      <c r="D297" s="14" t="n">
        <v>0.9</v>
      </c>
      <c r="E297" s="14" t="n">
        <v>10</v>
      </c>
      <c r="F297" s="14" t="n">
        <v>1</v>
      </c>
      <c r="G297" s="14" t="n">
        <v>43</v>
      </c>
      <c r="H297" s="15" t="n">
        <v>7696.73</v>
      </c>
      <c r="I297" s="16" t="n">
        <v>10.046</v>
      </c>
    </row>
    <row r="298" customFormat="false" ht="15" hidden="false" customHeight="false" outlineLevel="0" collapsed="false">
      <c r="A298" s="10" t="s">
        <v>52</v>
      </c>
      <c r="B298" s="10" t="s">
        <v>71</v>
      </c>
      <c r="C298" s="10" t="s">
        <v>56</v>
      </c>
      <c r="D298" s="10" t="n">
        <v>0.9</v>
      </c>
      <c r="E298" s="10" t="n">
        <v>10</v>
      </c>
      <c r="F298" s="10" t="n">
        <v>2</v>
      </c>
      <c r="G298" s="10" t="n">
        <v>44</v>
      </c>
      <c r="H298" s="11" t="n">
        <v>7672.74</v>
      </c>
      <c r="I298" s="12" t="n">
        <v>10.035</v>
      </c>
    </row>
    <row r="299" customFormat="false" ht="15" hidden="false" customHeight="false" outlineLevel="0" collapsed="false">
      <c r="A299" s="14" t="s">
        <v>52</v>
      </c>
      <c r="B299" s="14" t="s">
        <v>71</v>
      </c>
      <c r="C299" s="14" t="s">
        <v>57</v>
      </c>
      <c r="D299" s="14" t="n">
        <v>0.9</v>
      </c>
      <c r="E299" s="14" t="n">
        <v>10</v>
      </c>
      <c r="F299" s="14" t="n">
        <v>0</v>
      </c>
      <c r="G299" s="14" t="n">
        <v>42</v>
      </c>
      <c r="H299" s="15" t="n">
        <v>7764.55</v>
      </c>
      <c r="I299" s="16" t="n">
        <v>10.045</v>
      </c>
    </row>
    <row r="300" customFormat="false" ht="15" hidden="false" customHeight="false" outlineLevel="0" collapsed="false">
      <c r="A300" s="10" t="s">
        <v>52</v>
      </c>
      <c r="B300" s="10" t="s">
        <v>71</v>
      </c>
      <c r="C300" s="10" t="s">
        <v>57</v>
      </c>
      <c r="D300" s="10" t="n">
        <v>0.9</v>
      </c>
      <c r="E300" s="10" t="n">
        <v>10</v>
      </c>
      <c r="F300" s="10" t="n">
        <v>1</v>
      </c>
      <c r="G300" s="10" t="n">
        <v>43</v>
      </c>
      <c r="H300" s="11" t="n">
        <v>7768.54</v>
      </c>
      <c r="I300" s="12" t="n">
        <v>10.011</v>
      </c>
    </row>
    <row r="301" customFormat="false" ht="15" hidden="false" customHeight="false" outlineLevel="0" collapsed="false">
      <c r="A301" s="14" t="s">
        <v>52</v>
      </c>
      <c r="B301" s="14" t="s">
        <v>71</v>
      </c>
      <c r="C301" s="14" t="s">
        <v>57</v>
      </c>
      <c r="D301" s="14" t="n">
        <v>0.9</v>
      </c>
      <c r="E301" s="14" t="n">
        <v>10</v>
      </c>
      <c r="F301" s="14" t="n">
        <v>2</v>
      </c>
      <c r="G301" s="14" t="n">
        <v>44</v>
      </c>
      <c r="H301" s="15" t="n">
        <v>7780.22</v>
      </c>
      <c r="I301" s="16" t="n">
        <v>10.016</v>
      </c>
    </row>
    <row r="302" customFormat="false" ht="15" hidden="false" customHeight="false" outlineLevel="0" collapsed="false">
      <c r="A302" s="10" t="s">
        <v>52</v>
      </c>
      <c r="B302" s="10" t="s">
        <v>71</v>
      </c>
      <c r="C302" s="10" t="s">
        <v>53</v>
      </c>
      <c r="D302" s="10" t="n">
        <v>0.9</v>
      </c>
      <c r="E302" s="10" t="n">
        <v>15</v>
      </c>
      <c r="F302" s="10" t="n">
        <v>0</v>
      </c>
      <c r="G302" s="10" t="n">
        <v>42</v>
      </c>
      <c r="H302" s="11" t="n">
        <v>7649.89</v>
      </c>
      <c r="I302" s="12" t="n">
        <v>10.013</v>
      </c>
    </row>
    <row r="303" customFormat="false" ht="15" hidden="false" customHeight="false" outlineLevel="0" collapsed="false">
      <c r="A303" s="14" t="s">
        <v>52</v>
      </c>
      <c r="B303" s="14" t="s">
        <v>71</v>
      </c>
      <c r="C303" s="14" t="s">
        <v>53</v>
      </c>
      <c r="D303" s="14" t="n">
        <v>0.9</v>
      </c>
      <c r="E303" s="14" t="n">
        <v>15</v>
      </c>
      <c r="F303" s="14" t="n">
        <v>1</v>
      </c>
      <c r="G303" s="14" t="n">
        <v>43</v>
      </c>
      <c r="H303" s="15" t="n">
        <v>7756.24</v>
      </c>
      <c r="I303" s="16" t="n">
        <v>10.039</v>
      </c>
    </row>
    <row r="304" customFormat="false" ht="15" hidden="false" customHeight="false" outlineLevel="0" collapsed="false">
      <c r="A304" s="10" t="s">
        <v>52</v>
      </c>
      <c r="B304" s="10" t="s">
        <v>71</v>
      </c>
      <c r="C304" s="10" t="s">
        <v>53</v>
      </c>
      <c r="D304" s="10" t="n">
        <v>0.9</v>
      </c>
      <c r="E304" s="10" t="n">
        <v>15</v>
      </c>
      <c r="F304" s="10" t="n">
        <v>2</v>
      </c>
      <c r="G304" s="10" t="n">
        <v>44</v>
      </c>
      <c r="H304" s="11" t="n">
        <v>7709.91</v>
      </c>
      <c r="I304" s="12" t="n">
        <v>10.007</v>
      </c>
    </row>
    <row r="305" customFormat="false" ht="15" hidden="false" customHeight="false" outlineLevel="0" collapsed="false">
      <c r="A305" s="14" t="s">
        <v>52</v>
      </c>
      <c r="B305" s="14" t="s">
        <v>71</v>
      </c>
      <c r="C305" s="14" t="s">
        <v>54</v>
      </c>
      <c r="D305" s="14" t="n">
        <v>0.9</v>
      </c>
      <c r="E305" s="14" t="n">
        <v>15</v>
      </c>
      <c r="F305" s="14" t="n">
        <v>0</v>
      </c>
      <c r="G305" s="14" t="n">
        <v>42</v>
      </c>
      <c r="H305" s="15" t="n">
        <v>7662.45</v>
      </c>
      <c r="I305" s="16" t="n">
        <v>10.035</v>
      </c>
    </row>
    <row r="306" customFormat="false" ht="15" hidden="false" customHeight="false" outlineLevel="0" collapsed="false">
      <c r="A306" s="10" t="s">
        <v>52</v>
      </c>
      <c r="B306" s="10" t="s">
        <v>71</v>
      </c>
      <c r="C306" s="10" t="s">
        <v>54</v>
      </c>
      <c r="D306" s="10" t="n">
        <v>0.9</v>
      </c>
      <c r="E306" s="10" t="n">
        <v>15</v>
      </c>
      <c r="F306" s="10" t="n">
        <v>1</v>
      </c>
      <c r="G306" s="10" t="n">
        <v>43</v>
      </c>
      <c r="H306" s="11" t="n">
        <v>7755.23</v>
      </c>
      <c r="I306" s="12" t="n">
        <v>10.048</v>
      </c>
    </row>
    <row r="307" customFormat="false" ht="15" hidden="false" customHeight="false" outlineLevel="0" collapsed="false">
      <c r="A307" s="14" t="s">
        <v>52</v>
      </c>
      <c r="B307" s="14" t="s">
        <v>71</v>
      </c>
      <c r="C307" s="14" t="s">
        <v>54</v>
      </c>
      <c r="D307" s="14" t="n">
        <v>0.9</v>
      </c>
      <c r="E307" s="14" t="n">
        <v>15</v>
      </c>
      <c r="F307" s="14" t="n">
        <v>2</v>
      </c>
      <c r="G307" s="14" t="n">
        <v>44</v>
      </c>
      <c r="H307" s="15" t="n">
        <v>7610.7</v>
      </c>
      <c r="I307" s="16" t="n">
        <v>10.035</v>
      </c>
    </row>
    <row r="308" customFormat="false" ht="15" hidden="false" customHeight="false" outlineLevel="0" collapsed="false">
      <c r="A308" s="10" t="s">
        <v>52</v>
      </c>
      <c r="B308" s="10" t="s">
        <v>71</v>
      </c>
      <c r="C308" s="10" t="s">
        <v>55</v>
      </c>
      <c r="D308" s="10" t="n">
        <v>0.9</v>
      </c>
      <c r="E308" s="10" t="n">
        <v>15</v>
      </c>
      <c r="F308" s="10" t="n">
        <v>0</v>
      </c>
      <c r="G308" s="10" t="n">
        <v>42</v>
      </c>
      <c r="H308" s="11" t="n">
        <v>7726.58</v>
      </c>
      <c r="I308" s="12" t="n">
        <v>10.014</v>
      </c>
    </row>
    <row r="309" customFormat="false" ht="15" hidden="false" customHeight="false" outlineLevel="0" collapsed="false">
      <c r="A309" s="14" t="s">
        <v>52</v>
      </c>
      <c r="B309" s="14" t="s">
        <v>71</v>
      </c>
      <c r="C309" s="14" t="s">
        <v>55</v>
      </c>
      <c r="D309" s="14" t="n">
        <v>0.9</v>
      </c>
      <c r="E309" s="14" t="n">
        <v>15</v>
      </c>
      <c r="F309" s="14" t="n">
        <v>1</v>
      </c>
      <c r="G309" s="14" t="n">
        <v>43</v>
      </c>
      <c r="H309" s="15" t="n">
        <v>7682.77</v>
      </c>
      <c r="I309" s="16" t="n">
        <v>10.036</v>
      </c>
    </row>
    <row r="310" customFormat="false" ht="15" hidden="false" customHeight="false" outlineLevel="0" collapsed="false">
      <c r="A310" s="10" t="s">
        <v>52</v>
      </c>
      <c r="B310" s="10" t="s">
        <v>71</v>
      </c>
      <c r="C310" s="10" t="s">
        <v>55</v>
      </c>
      <c r="D310" s="10" t="n">
        <v>0.9</v>
      </c>
      <c r="E310" s="10" t="n">
        <v>15</v>
      </c>
      <c r="F310" s="10" t="n">
        <v>2</v>
      </c>
      <c r="G310" s="10" t="n">
        <v>44</v>
      </c>
      <c r="H310" s="11" t="n">
        <v>7638.54</v>
      </c>
      <c r="I310" s="12" t="n">
        <v>10.035</v>
      </c>
    </row>
    <row r="311" customFormat="false" ht="15" hidden="false" customHeight="false" outlineLevel="0" collapsed="false">
      <c r="A311" s="14" t="s">
        <v>52</v>
      </c>
      <c r="B311" s="14" t="s">
        <v>71</v>
      </c>
      <c r="C311" s="14" t="s">
        <v>56</v>
      </c>
      <c r="D311" s="14" t="n">
        <v>0.9</v>
      </c>
      <c r="E311" s="14" t="n">
        <v>15</v>
      </c>
      <c r="F311" s="14" t="n">
        <v>0</v>
      </c>
      <c r="G311" s="14" t="n">
        <v>42</v>
      </c>
      <c r="H311" s="15" t="n">
        <v>7711.79</v>
      </c>
      <c r="I311" s="16" t="n">
        <v>10.036</v>
      </c>
    </row>
    <row r="312" customFormat="false" ht="15" hidden="false" customHeight="false" outlineLevel="0" collapsed="false">
      <c r="A312" s="10" t="s">
        <v>52</v>
      </c>
      <c r="B312" s="10" t="s">
        <v>71</v>
      </c>
      <c r="C312" s="10" t="s">
        <v>56</v>
      </c>
      <c r="D312" s="10" t="n">
        <v>0.9</v>
      </c>
      <c r="E312" s="10" t="n">
        <v>15</v>
      </c>
      <c r="F312" s="10" t="n">
        <v>1</v>
      </c>
      <c r="G312" s="10" t="n">
        <v>43</v>
      </c>
      <c r="H312" s="11" t="n">
        <v>7696.73</v>
      </c>
      <c r="I312" s="12" t="n">
        <v>10.036</v>
      </c>
    </row>
    <row r="313" customFormat="false" ht="15" hidden="false" customHeight="false" outlineLevel="0" collapsed="false">
      <c r="A313" s="14" t="s">
        <v>52</v>
      </c>
      <c r="B313" s="14" t="s">
        <v>71</v>
      </c>
      <c r="C313" s="14" t="s">
        <v>56</v>
      </c>
      <c r="D313" s="14" t="n">
        <v>0.9</v>
      </c>
      <c r="E313" s="14" t="n">
        <v>15</v>
      </c>
      <c r="F313" s="14" t="n">
        <v>2</v>
      </c>
      <c r="G313" s="14" t="n">
        <v>44</v>
      </c>
      <c r="H313" s="15" t="n">
        <v>7642.04</v>
      </c>
      <c r="I313" s="16" t="n">
        <v>10.04</v>
      </c>
    </row>
    <row r="314" customFormat="false" ht="15" hidden="false" customHeight="false" outlineLevel="0" collapsed="false">
      <c r="A314" s="10" t="s">
        <v>52</v>
      </c>
      <c r="B314" s="10" t="s">
        <v>71</v>
      </c>
      <c r="C314" s="10" t="s">
        <v>57</v>
      </c>
      <c r="D314" s="10" t="n">
        <v>0.9</v>
      </c>
      <c r="E314" s="10" t="n">
        <v>15</v>
      </c>
      <c r="F314" s="10" t="n">
        <v>0</v>
      </c>
      <c r="G314" s="10" t="n">
        <v>42</v>
      </c>
      <c r="H314" s="11" t="n">
        <v>7765.68</v>
      </c>
      <c r="I314" s="12" t="n">
        <v>10.021</v>
      </c>
    </row>
    <row r="315" customFormat="false" ht="15" hidden="false" customHeight="false" outlineLevel="0" collapsed="false">
      <c r="A315" s="14" t="s">
        <v>52</v>
      </c>
      <c r="B315" s="14" t="s">
        <v>71</v>
      </c>
      <c r="C315" s="14" t="s">
        <v>57</v>
      </c>
      <c r="D315" s="14" t="n">
        <v>0.9</v>
      </c>
      <c r="E315" s="14" t="n">
        <v>15</v>
      </c>
      <c r="F315" s="14" t="n">
        <v>1</v>
      </c>
      <c r="G315" s="14" t="n">
        <v>43</v>
      </c>
      <c r="H315" s="15" t="n">
        <v>7725.98</v>
      </c>
      <c r="I315" s="16" t="n">
        <v>10.044</v>
      </c>
    </row>
    <row r="316" customFormat="false" ht="15" hidden="false" customHeight="false" outlineLevel="0" collapsed="false">
      <c r="A316" s="10" t="s">
        <v>52</v>
      </c>
      <c r="B316" s="10" t="s">
        <v>71</v>
      </c>
      <c r="C316" s="10" t="s">
        <v>57</v>
      </c>
      <c r="D316" s="10" t="n">
        <v>0.9</v>
      </c>
      <c r="E316" s="10" t="n">
        <v>15</v>
      </c>
      <c r="F316" s="10" t="n">
        <v>2</v>
      </c>
      <c r="G316" s="10" t="n">
        <v>44</v>
      </c>
      <c r="H316" s="11" t="n">
        <v>7780.22</v>
      </c>
      <c r="I316" s="12" t="n">
        <v>10.023</v>
      </c>
    </row>
    <row r="317" customFormat="false" ht="15" hidden="false" customHeight="false" outlineLevel="0" collapsed="false">
      <c r="A317" s="14" t="s">
        <v>52</v>
      </c>
      <c r="B317" s="14" t="s">
        <v>71</v>
      </c>
      <c r="C317" s="14" t="s">
        <v>53</v>
      </c>
      <c r="D317" s="14" t="n">
        <v>0.9</v>
      </c>
      <c r="E317" s="14" t="n">
        <v>20</v>
      </c>
      <c r="F317" s="14" t="n">
        <v>0</v>
      </c>
      <c r="G317" s="14" t="n">
        <v>42</v>
      </c>
      <c r="H317" s="15" t="n">
        <v>7627.95</v>
      </c>
      <c r="I317" s="16" t="n">
        <v>10.019</v>
      </c>
    </row>
    <row r="318" customFormat="false" ht="15" hidden="false" customHeight="false" outlineLevel="0" collapsed="false">
      <c r="A318" s="10" t="s">
        <v>52</v>
      </c>
      <c r="B318" s="10" t="s">
        <v>71</v>
      </c>
      <c r="C318" s="10" t="s">
        <v>53</v>
      </c>
      <c r="D318" s="10" t="n">
        <v>0.9</v>
      </c>
      <c r="E318" s="10" t="n">
        <v>20</v>
      </c>
      <c r="F318" s="10" t="n">
        <v>1</v>
      </c>
      <c r="G318" s="10" t="n">
        <v>43</v>
      </c>
      <c r="H318" s="11" t="n">
        <v>7755.63</v>
      </c>
      <c r="I318" s="12" t="n">
        <v>10.04</v>
      </c>
    </row>
    <row r="319" customFormat="false" ht="15" hidden="false" customHeight="false" outlineLevel="0" collapsed="false">
      <c r="A319" s="14" t="s">
        <v>52</v>
      </c>
      <c r="B319" s="14" t="s">
        <v>71</v>
      </c>
      <c r="C319" s="14" t="s">
        <v>53</v>
      </c>
      <c r="D319" s="14" t="n">
        <v>0.9</v>
      </c>
      <c r="E319" s="14" t="n">
        <v>20</v>
      </c>
      <c r="F319" s="14" t="n">
        <v>2</v>
      </c>
      <c r="G319" s="14" t="n">
        <v>44</v>
      </c>
      <c r="H319" s="15" t="n">
        <v>7618.81</v>
      </c>
      <c r="I319" s="16" t="n">
        <v>10.007</v>
      </c>
    </row>
    <row r="320" customFormat="false" ht="15" hidden="false" customHeight="false" outlineLevel="0" collapsed="false">
      <c r="A320" s="10" t="s">
        <v>52</v>
      </c>
      <c r="B320" s="10" t="s">
        <v>71</v>
      </c>
      <c r="C320" s="10" t="s">
        <v>54</v>
      </c>
      <c r="D320" s="10" t="n">
        <v>0.9</v>
      </c>
      <c r="E320" s="10" t="n">
        <v>20</v>
      </c>
      <c r="F320" s="10" t="n">
        <v>0</v>
      </c>
      <c r="G320" s="10" t="n">
        <v>42</v>
      </c>
      <c r="H320" s="11" t="n">
        <v>7662.45</v>
      </c>
      <c r="I320" s="12" t="n">
        <v>10.033</v>
      </c>
    </row>
    <row r="321" customFormat="false" ht="15" hidden="false" customHeight="false" outlineLevel="0" collapsed="false">
      <c r="A321" s="14" t="s">
        <v>52</v>
      </c>
      <c r="B321" s="14" t="s">
        <v>71</v>
      </c>
      <c r="C321" s="14" t="s">
        <v>54</v>
      </c>
      <c r="D321" s="14" t="n">
        <v>0.9</v>
      </c>
      <c r="E321" s="14" t="n">
        <v>20</v>
      </c>
      <c r="F321" s="14" t="n">
        <v>1</v>
      </c>
      <c r="G321" s="14" t="n">
        <v>43</v>
      </c>
      <c r="H321" s="15" t="n">
        <v>7755.23</v>
      </c>
      <c r="I321" s="16" t="n">
        <v>10.018</v>
      </c>
    </row>
    <row r="322" customFormat="false" ht="15" hidden="false" customHeight="false" outlineLevel="0" collapsed="false">
      <c r="A322" s="10" t="s">
        <v>52</v>
      </c>
      <c r="B322" s="10" t="s">
        <v>71</v>
      </c>
      <c r="C322" s="10" t="s">
        <v>54</v>
      </c>
      <c r="D322" s="10" t="n">
        <v>0.9</v>
      </c>
      <c r="E322" s="10" t="n">
        <v>20</v>
      </c>
      <c r="F322" s="10" t="n">
        <v>2</v>
      </c>
      <c r="G322" s="10" t="n">
        <v>44</v>
      </c>
      <c r="H322" s="11" t="n">
        <v>7630.66</v>
      </c>
      <c r="I322" s="12" t="n">
        <v>10.012</v>
      </c>
    </row>
    <row r="323" customFormat="false" ht="15" hidden="false" customHeight="false" outlineLevel="0" collapsed="false">
      <c r="A323" s="14" t="s">
        <v>52</v>
      </c>
      <c r="B323" s="14" t="s">
        <v>71</v>
      </c>
      <c r="C323" s="14" t="s">
        <v>55</v>
      </c>
      <c r="D323" s="14" t="n">
        <v>0.9</v>
      </c>
      <c r="E323" s="14" t="n">
        <v>20</v>
      </c>
      <c r="F323" s="14" t="n">
        <v>0</v>
      </c>
      <c r="G323" s="14" t="n">
        <v>42</v>
      </c>
      <c r="H323" s="15" t="n">
        <v>7711.83</v>
      </c>
      <c r="I323" s="16" t="n">
        <v>10.027</v>
      </c>
    </row>
    <row r="324" customFormat="false" ht="15" hidden="false" customHeight="false" outlineLevel="0" collapsed="false">
      <c r="A324" s="10" t="s">
        <v>52</v>
      </c>
      <c r="B324" s="10" t="s">
        <v>71</v>
      </c>
      <c r="C324" s="10" t="s">
        <v>55</v>
      </c>
      <c r="D324" s="10" t="n">
        <v>0.9</v>
      </c>
      <c r="E324" s="10" t="n">
        <v>20</v>
      </c>
      <c r="F324" s="10" t="n">
        <v>1</v>
      </c>
      <c r="G324" s="10" t="n">
        <v>43</v>
      </c>
      <c r="H324" s="11" t="n">
        <v>7710.71</v>
      </c>
      <c r="I324" s="12" t="n">
        <v>10.011</v>
      </c>
    </row>
    <row r="325" customFormat="false" ht="15" hidden="false" customHeight="false" outlineLevel="0" collapsed="false">
      <c r="A325" s="14" t="s">
        <v>52</v>
      </c>
      <c r="B325" s="14" t="s">
        <v>71</v>
      </c>
      <c r="C325" s="14" t="s">
        <v>55</v>
      </c>
      <c r="D325" s="14" t="n">
        <v>0.9</v>
      </c>
      <c r="E325" s="14" t="n">
        <v>20</v>
      </c>
      <c r="F325" s="14" t="n">
        <v>2</v>
      </c>
      <c r="G325" s="14" t="n">
        <v>44</v>
      </c>
      <c r="H325" s="15" t="n">
        <v>7665.67</v>
      </c>
      <c r="I325" s="16" t="n">
        <v>10.027</v>
      </c>
    </row>
    <row r="326" customFormat="false" ht="15" hidden="false" customHeight="false" outlineLevel="0" collapsed="false">
      <c r="A326" s="10" t="s">
        <v>52</v>
      </c>
      <c r="B326" s="10" t="s">
        <v>71</v>
      </c>
      <c r="C326" s="10" t="s">
        <v>56</v>
      </c>
      <c r="D326" s="10" t="n">
        <v>0.9</v>
      </c>
      <c r="E326" s="10" t="n">
        <v>20</v>
      </c>
      <c r="F326" s="10" t="n">
        <v>0</v>
      </c>
      <c r="G326" s="10" t="n">
        <v>42</v>
      </c>
      <c r="H326" s="11" t="n">
        <v>7702.47</v>
      </c>
      <c r="I326" s="12" t="n">
        <v>10.053</v>
      </c>
    </row>
    <row r="327" customFormat="false" ht="15" hidden="false" customHeight="false" outlineLevel="0" collapsed="false">
      <c r="A327" s="14" t="s">
        <v>52</v>
      </c>
      <c r="B327" s="14" t="s">
        <v>71</v>
      </c>
      <c r="C327" s="14" t="s">
        <v>56</v>
      </c>
      <c r="D327" s="14" t="n">
        <v>0.9</v>
      </c>
      <c r="E327" s="14" t="n">
        <v>20</v>
      </c>
      <c r="F327" s="14" t="n">
        <v>1</v>
      </c>
      <c r="G327" s="14" t="n">
        <v>43</v>
      </c>
      <c r="H327" s="15" t="n">
        <v>7696.73</v>
      </c>
      <c r="I327" s="16" t="n">
        <v>10.015</v>
      </c>
    </row>
    <row r="328" customFormat="false" ht="15" hidden="false" customHeight="false" outlineLevel="0" collapsed="false">
      <c r="A328" s="10" t="s">
        <v>52</v>
      </c>
      <c r="B328" s="10" t="s">
        <v>71</v>
      </c>
      <c r="C328" s="10" t="s">
        <v>56</v>
      </c>
      <c r="D328" s="10" t="n">
        <v>0.9</v>
      </c>
      <c r="E328" s="10" t="n">
        <v>20</v>
      </c>
      <c r="F328" s="10" t="n">
        <v>2</v>
      </c>
      <c r="G328" s="10" t="n">
        <v>44</v>
      </c>
      <c r="H328" s="11" t="n">
        <v>7667.74</v>
      </c>
      <c r="I328" s="12" t="n">
        <v>10.022</v>
      </c>
    </row>
    <row r="329" customFormat="false" ht="15" hidden="false" customHeight="false" outlineLevel="0" collapsed="false">
      <c r="A329" s="14" t="s">
        <v>52</v>
      </c>
      <c r="B329" s="14" t="s">
        <v>71</v>
      </c>
      <c r="C329" s="14" t="s">
        <v>57</v>
      </c>
      <c r="D329" s="14" t="n">
        <v>0.9</v>
      </c>
      <c r="E329" s="14" t="n">
        <v>20</v>
      </c>
      <c r="F329" s="14" t="n">
        <v>0</v>
      </c>
      <c r="G329" s="14" t="n">
        <v>42</v>
      </c>
      <c r="H329" s="15" t="n">
        <v>7764.55</v>
      </c>
      <c r="I329" s="16" t="n">
        <v>10.052</v>
      </c>
    </row>
    <row r="330" customFormat="false" ht="15" hidden="false" customHeight="false" outlineLevel="0" collapsed="false">
      <c r="A330" s="10" t="s">
        <v>52</v>
      </c>
      <c r="B330" s="10" t="s">
        <v>71</v>
      </c>
      <c r="C330" s="10" t="s">
        <v>57</v>
      </c>
      <c r="D330" s="10" t="n">
        <v>0.9</v>
      </c>
      <c r="E330" s="10" t="n">
        <v>20</v>
      </c>
      <c r="F330" s="10" t="n">
        <v>1</v>
      </c>
      <c r="G330" s="10" t="n">
        <v>43</v>
      </c>
      <c r="H330" s="11" t="n">
        <v>7725.98</v>
      </c>
      <c r="I330" s="12" t="n">
        <v>10.044</v>
      </c>
    </row>
    <row r="331" customFormat="false" ht="15" hidden="false" customHeight="false" outlineLevel="0" collapsed="false">
      <c r="A331" s="14" t="s">
        <v>52</v>
      </c>
      <c r="B331" s="14" t="s">
        <v>71</v>
      </c>
      <c r="C331" s="14" t="s">
        <v>57</v>
      </c>
      <c r="D331" s="14" t="n">
        <v>0.9</v>
      </c>
      <c r="E331" s="14" t="n">
        <v>20</v>
      </c>
      <c r="F331" s="14" t="n">
        <v>2</v>
      </c>
      <c r="G331" s="14" t="n">
        <v>44</v>
      </c>
      <c r="H331" s="15" t="n">
        <v>7780.22</v>
      </c>
      <c r="I331" s="16" t="n">
        <v>10.042</v>
      </c>
    </row>
    <row r="332" customFormat="false" ht="15" hidden="false" customHeight="false" outlineLevel="0" collapsed="false">
      <c r="A332" s="10" t="s">
        <v>52</v>
      </c>
      <c r="B332" s="10" t="s">
        <v>71</v>
      </c>
      <c r="C332" s="10" t="s">
        <v>53</v>
      </c>
      <c r="D332" s="10" t="n">
        <v>0.9</v>
      </c>
      <c r="E332" s="10" t="n">
        <v>25</v>
      </c>
      <c r="F332" s="10" t="n">
        <v>0</v>
      </c>
      <c r="G332" s="10" t="n">
        <v>42</v>
      </c>
      <c r="H332" s="11" t="n">
        <v>7632.42</v>
      </c>
      <c r="I332" s="12" t="n">
        <v>10.042</v>
      </c>
    </row>
    <row r="333" customFormat="false" ht="15" hidden="false" customHeight="false" outlineLevel="0" collapsed="false">
      <c r="A333" s="14" t="s">
        <v>52</v>
      </c>
      <c r="B333" s="14" t="s">
        <v>71</v>
      </c>
      <c r="C333" s="14" t="s">
        <v>53</v>
      </c>
      <c r="D333" s="14" t="n">
        <v>0.9</v>
      </c>
      <c r="E333" s="14" t="n">
        <v>25</v>
      </c>
      <c r="F333" s="14" t="n">
        <v>1</v>
      </c>
      <c r="G333" s="14" t="n">
        <v>43</v>
      </c>
      <c r="H333" s="15" t="n">
        <v>7756.24</v>
      </c>
      <c r="I333" s="16" t="n">
        <v>10.027</v>
      </c>
    </row>
    <row r="334" customFormat="false" ht="15" hidden="false" customHeight="false" outlineLevel="0" collapsed="false">
      <c r="A334" s="10" t="s">
        <v>52</v>
      </c>
      <c r="B334" s="10" t="s">
        <v>71</v>
      </c>
      <c r="C334" s="10" t="s">
        <v>53</v>
      </c>
      <c r="D334" s="10" t="n">
        <v>0.9</v>
      </c>
      <c r="E334" s="10" t="n">
        <v>25</v>
      </c>
      <c r="F334" s="10" t="n">
        <v>2</v>
      </c>
      <c r="G334" s="10" t="n">
        <v>44</v>
      </c>
      <c r="H334" s="11" t="n">
        <v>7618.81</v>
      </c>
      <c r="I334" s="12" t="n">
        <v>10.049</v>
      </c>
    </row>
    <row r="335" customFormat="false" ht="15" hidden="false" customHeight="false" outlineLevel="0" collapsed="false">
      <c r="A335" s="14" t="s">
        <v>52</v>
      </c>
      <c r="B335" s="14" t="s">
        <v>71</v>
      </c>
      <c r="C335" s="14" t="s">
        <v>54</v>
      </c>
      <c r="D335" s="14" t="n">
        <v>0.9</v>
      </c>
      <c r="E335" s="14" t="n">
        <v>25</v>
      </c>
      <c r="F335" s="14" t="n">
        <v>0</v>
      </c>
      <c r="G335" s="14" t="n">
        <v>42</v>
      </c>
      <c r="H335" s="15" t="n">
        <v>7662.45</v>
      </c>
      <c r="I335" s="16" t="n">
        <v>10.042</v>
      </c>
    </row>
    <row r="336" customFormat="false" ht="15" hidden="false" customHeight="false" outlineLevel="0" collapsed="false">
      <c r="A336" s="10" t="s">
        <v>52</v>
      </c>
      <c r="B336" s="10" t="s">
        <v>71</v>
      </c>
      <c r="C336" s="10" t="s">
        <v>54</v>
      </c>
      <c r="D336" s="10" t="n">
        <v>0.9</v>
      </c>
      <c r="E336" s="10" t="n">
        <v>25</v>
      </c>
      <c r="F336" s="10" t="n">
        <v>1</v>
      </c>
      <c r="G336" s="10" t="n">
        <v>43</v>
      </c>
      <c r="H336" s="11" t="n">
        <v>7703.6</v>
      </c>
      <c r="I336" s="12" t="n">
        <v>10.051</v>
      </c>
    </row>
    <row r="337" customFormat="false" ht="15" hidden="false" customHeight="false" outlineLevel="0" collapsed="false">
      <c r="A337" s="14" t="s">
        <v>52</v>
      </c>
      <c r="B337" s="14" t="s">
        <v>71</v>
      </c>
      <c r="C337" s="14" t="s">
        <v>54</v>
      </c>
      <c r="D337" s="14" t="n">
        <v>0.9</v>
      </c>
      <c r="E337" s="14" t="n">
        <v>25</v>
      </c>
      <c r="F337" s="14" t="n">
        <v>2</v>
      </c>
      <c r="G337" s="14" t="n">
        <v>44</v>
      </c>
      <c r="H337" s="15" t="n">
        <v>7630.66</v>
      </c>
      <c r="I337" s="16" t="n">
        <v>10.049</v>
      </c>
    </row>
    <row r="338" customFormat="false" ht="15" hidden="false" customHeight="false" outlineLevel="0" collapsed="false">
      <c r="A338" s="10" t="s">
        <v>52</v>
      </c>
      <c r="B338" s="10" t="s">
        <v>71</v>
      </c>
      <c r="C338" s="10" t="s">
        <v>55</v>
      </c>
      <c r="D338" s="10" t="n">
        <v>0.9</v>
      </c>
      <c r="E338" s="10" t="n">
        <v>25</v>
      </c>
      <c r="F338" s="10" t="n">
        <v>0</v>
      </c>
      <c r="G338" s="10" t="n">
        <v>42</v>
      </c>
      <c r="H338" s="11" t="n">
        <v>7706.18</v>
      </c>
      <c r="I338" s="12" t="n">
        <v>10.009</v>
      </c>
    </row>
    <row r="339" customFormat="false" ht="15" hidden="false" customHeight="false" outlineLevel="0" collapsed="false">
      <c r="A339" s="14" t="s">
        <v>52</v>
      </c>
      <c r="B339" s="14" t="s">
        <v>71</v>
      </c>
      <c r="C339" s="14" t="s">
        <v>55</v>
      </c>
      <c r="D339" s="14" t="n">
        <v>0.9</v>
      </c>
      <c r="E339" s="14" t="n">
        <v>25</v>
      </c>
      <c r="F339" s="14" t="n">
        <v>1</v>
      </c>
      <c r="G339" s="14" t="n">
        <v>43</v>
      </c>
      <c r="H339" s="15" t="n">
        <v>7683.99</v>
      </c>
      <c r="I339" s="16" t="n">
        <v>10.024</v>
      </c>
    </row>
    <row r="340" customFormat="false" ht="15" hidden="false" customHeight="false" outlineLevel="0" collapsed="false">
      <c r="A340" s="10" t="s">
        <v>52</v>
      </c>
      <c r="B340" s="10" t="s">
        <v>71</v>
      </c>
      <c r="C340" s="10" t="s">
        <v>55</v>
      </c>
      <c r="D340" s="10" t="n">
        <v>0.9</v>
      </c>
      <c r="E340" s="10" t="n">
        <v>25</v>
      </c>
      <c r="F340" s="10" t="n">
        <v>2</v>
      </c>
      <c r="G340" s="10" t="n">
        <v>44</v>
      </c>
      <c r="H340" s="11" t="n">
        <v>7632.38</v>
      </c>
      <c r="I340" s="12" t="n">
        <v>10.034</v>
      </c>
    </row>
    <row r="341" customFormat="false" ht="15" hidden="false" customHeight="false" outlineLevel="0" collapsed="false">
      <c r="A341" s="14" t="s">
        <v>52</v>
      </c>
      <c r="B341" s="14" t="s">
        <v>71</v>
      </c>
      <c r="C341" s="14" t="s">
        <v>56</v>
      </c>
      <c r="D341" s="14" t="n">
        <v>0.9</v>
      </c>
      <c r="E341" s="14" t="n">
        <v>25</v>
      </c>
      <c r="F341" s="14" t="n">
        <v>0</v>
      </c>
      <c r="G341" s="14" t="n">
        <v>42</v>
      </c>
      <c r="H341" s="15" t="n">
        <v>7702.47</v>
      </c>
      <c r="I341" s="16" t="n">
        <v>10.042</v>
      </c>
    </row>
    <row r="342" customFormat="false" ht="15" hidden="false" customHeight="false" outlineLevel="0" collapsed="false">
      <c r="A342" s="10" t="s">
        <v>52</v>
      </c>
      <c r="B342" s="10" t="s">
        <v>71</v>
      </c>
      <c r="C342" s="10" t="s">
        <v>56</v>
      </c>
      <c r="D342" s="10" t="n">
        <v>0.9</v>
      </c>
      <c r="E342" s="10" t="n">
        <v>25</v>
      </c>
      <c r="F342" s="10" t="n">
        <v>1</v>
      </c>
      <c r="G342" s="10" t="n">
        <v>43</v>
      </c>
      <c r="H342" s="11" t="n">
        <v>7696.73</v>
      </c>
      <c r="I342" s="12" t="n">
        <v>10.046</v>
      </c>
    </row>
    <row r="343" customFormat="false" ht="15" hidden="false" customHeight="false" outlineLevel="0" collapsed="false">
      <c r="A343" s="14" t="s">
        <v>52</v>
      </c>
      <c r="B343" s="14" t="s">
        <v>71</v>
      </c>
      <c r="C343" s="14" t="s">
        <v>56</v>
      </c>
      <c r="D343" s="14" t="n">
        <v>0.9</v>
      </c>
      <c r="E343" s="14" t="n">
        <v>25</v>
      </c>
      <c r="F343" s="14" t="n">
        <v>2</v>
      </c>
      <c r="G343" s="14" t="n">
        <v>44</v>
      </c>
      <c r="H343" s="15" t="n">
        <v>7656.38</v>
      </c>
      <c r="I343" s="16" t="n">
        <v>10.031</v>
      </c>
    </row>
    <row r="344" customFormat="false" ht="15" hidden="false" customHeight="false" outlineLevel="0" collapsed="false">
      <c r="A344" s="10" t="s">
        <v>52</v>
      </c>
      <c r="B344" s="10" t="s">
        <v>71</v>
      </c>
      <c r="C344" s="10" t="s">
        <v>57</v>
      </c>
      <c r="D344" s="10" t="n">
        <v>0.9</v>
      </c>
      <c r="E344" s="10" t="n">
        <v>25</v>
      </c>
      <c r="F344" s="10" t="n">
        <v>0</v>
      </c>
      <c r="G344" s="10" t="n">
        <v>42</v>
      </c>
      <c r="H344" s="11" t="n">
        <v>7764.55</v>
      </c>
      <c r="I344" s="12" t="n">
        <v>10.041</v>
      </c>
    </row>
    <row r="345" customFormat="false" ht="15" hidden="false" customHeight="false" outlineLevel="0" collapsed="false">
      <c r="A345" s="14" t="s">
        <v>52</v>
      </c>
      <c r="B345" s="14" t="s">
        <v>71</v>
      </c>
      <c r="C345" s="14" t="s">
        <v>57</v>
      </c>
      <c r="D345" s="14" t="n">
        <v>0.9</v>
      </c>
      <c r="E345" s="14" t="n">
        <v>25</v>
      </c>
      <c r="F345" s="14" t="n">
        <v>1</v>
      </c>
      <c r="G345" s="14" t="n">
        <v>43</v>
      </c>
      <c r="H345" s="15" t="n">
        <v>7725.98</v>
      </c>
      <c r="I345" s="16" t="n">
        <v>10.031</v>
      </c>
    </row>
    <row r="346" customFormat="false" ht="15" hidden="false" customHeight="false" outlineLevel="0" collapsed="false">
      <c r="A346" s="10" t="s">
        <v>52</v>
      </c>
      <c r="B346" s="10" t="s">
        <v>71</v>
      </c>
      <c r="C346" s="10" t="s">
        <v>57</v>
      </c>
      <c r="D346" s="10" t="n">
        <v>0.9</v>
      </c>
      <c r="E346" s="10" t="n">
        <v>25</v>
      </c>
      <c r="F346" s="10" t="n">
        <v>2</v>
      </c>
      <c r="G346" s="10" t="n">
        <v>44</v>
      </c>
      <c r="H346" s="11" t="n">
        <v>7780.22</v>
      </c>
      <c r="I346" s="12" t="n">
        <v>10.027</v>
      </c>
    </row>
    <row r="347" customFormat="false" ht="15" hidden="false" customHeight="false" outlineLevel="0" collapsed="false">
      <c r="A347" s="14" t="s">
        <v>52</v>
      </c>
      <c r="B347" s="14" t="s">
        <v>71</v>
      </c>
      <c r="C347" s="14" t="s">
        <v>53</v>
      </c>
      <c r="D347" s="14" t="n">
        <v>0.9</v>
      </c>
      <c r="E347" s="14" t="n">
        <v>30</v>
      </c>
      <c r="F347" s="14" t="n">
        <v>0</v>
      </c>
      <c r="G347" s="14" t="n">
        <v>42</v>
      </c>
      <c r="H347" s="15" t="n">
        <v>7632.42</v>
      </c>
      <c r="I347" s="16" t="n">
        <v>10.056</v>
      </c>
    </row>
    <row r="348" customFormat="false" ht="15" hidden="false" customHeight="false" outlineLevel="0" collapsed="false">
      <c r="A348" s="10" t="s">
        <v>52</v>
      </c>
      <c r="B348" s="10" t="s">
        <v>71</v>
      </c>
      <c r="C348" s="10" t="s">
        <v>53</v>
      </c>
      <c r="D348" s="10" t="n">
        <v>0.9</v>
      </c>
      <c r="E348" s="10" t="n">
        <v>30</v>
      </c>
      <c r="F348" s="10" t="n">
        <v>1</v>
      </c>
      <c r="G348" s="10" t="n">
        <v>43</v>
      </c>
      <c r="H348" s="11" t="n">
        <v>7756.24</v>
      </c>
      <c r="I348" s="12" t="n">
        <v>10.023</v>
      </c>
    </row>
    <row r="349" customFormat="false" ht="15" hidden="false" customHeight="false" outlineLevel="0" collapsed="false">
      <c r="A349" s="14" t="s">
        <v>52</v>
      </c>
      <c r="B349" s="14" t="s">
        <v>71</v>
      </c>
      <c r="C349" s="14" t="s">
        <v>53</v>
      </c>
      <c r="D349" s="14" t="n">
        <v>0.9</v>
      </c>
      <c r="E349" s="14" t="n">
        <v>30</v>
      </c>
      <c r="F349" s="14" t="n">
        <v>2</v>
      </c>
      <c r="G349" s="14" t="n">
        <v>44</v>
      </c>
      <c r="H349" s="15" t="n">
        <v>7618.81</v>
      </c>
      <c r="I349" s="16" t="n">
        <v>10.034</v>
      </c>
    </row>
    <row r="350" customFormat="false" ht="15" hidden="false" customHeight="false" outlineLevel="0" collapsed="false">
      <c r="A350" s="10" t="s">
        <v>52</v>
      </c>
      <c r="B350" s="10" t="s">
        <v>71</v>
      </c>
      <c r="C350" s="10" t="s">
        <v>54</v>
      </c>
      <c r="D350" s="10" t="n">
        <v>0.9</v>
      </c>
      <c r="E350" s="10" t="n">
        <v>30</v>
      </c>
      <c r="F350" s="10" t="n">
        <v>0</v>
      </c>
      <c r="G350" s="10" t="n">
        <v>42</v>
      </c>
      <c r="H350" s="11" t="n">
        <v>7662.45</v>
      </c>
      <c r="I350" s="12" t="n">
        <v>10.028</v>
      </c>
    </row>
    <row r="351" customFormat="false" ht="15" hidden="false" customHeight="false" outlineLevel="0" collapsed="false">
      <c r="A351" s="14" t="s">
        <v>52</v>
      </c>
      <c r="B351" s="14" t="s">
        <v>71</v>
      </c>
      <c r="C351" s="14" t="s">
        <v>54</v>
      </c>
      <c r="D351" s="14" t="n">
        <v>0.9</v>
      </c>
      <c r="E351" s="14" t="n">
        <v>30</v>
      </c>
      <c r="F351" s="14" t="n">
        <v>1</v>
      </c>
      <c r="G351" s="14" t="n">
        <v>43</v>
      </c>
      <c r="H351" s="15" t="n">
        <v>7711.42</v>
      </c>
      <c r="I351" s="16" t="n">
        <v>10.039</v>
      </c>
    </row>
    <row r="352" customFormat="false" ht="15" hidden="false" customHeight="false" outlineLevel="0" collapsed="false">
      <c r="A352" s="10" t="s">
        <v>52</v>
      </c>
      <c r="B352" s="10" t="s">
        <v>71</v>
      </c>
      <c r="C352" s="10" t="s">
        <v>54</v>
      </c>
      <c r="D352" s="10" t="n">
        <v>0.9</v>
      </c>
      <c r="E352" s="10" t="n">
        <v>30</v>
      </c>
      <c r="F352" s="10" t="n">
        <v>2</v>
      </c>
      <c r="G352" s="10" t="n">
        <v>44</v>
      </c>
      <c r="H352" s="11" t="n">
        <v>7630.66</v>
      </c>
      <c r="I352" s="12" t="n">
        <v>10.029</v>
      </c>
    </row>
    <row r="353" customFormat="false" ht="15" hidden="false" customHeight="false" outlineLevel="0" collapsed="false">
      <c r="A353" s="14" t="s">
        <v>52</v>
      </c>
      <c r="B353" s="14" t="s">
        <v>71</v>
      </c>
      <c r="C353" s="14" t="s">
        <v>55</v>
      </c>
      <c r="D353" s="14" t="n">
        <v>0.9</v>
      </c>
      <c r="E353" s="14" t="n">
        <v>30</v>
      </c>
      <c r="F353" s="14" t="n">
        <v>0</v>
      </c>
      <c r="G353" s="14" t="n">
        <v>42</v>
      </c>
      <c r="H353" s="15" t="n">
        <v>7707.9</v>
      </c>
      <c r="I353" s="16" t="n">
        <v>10.021</v>
      </c>
    </row>
    <row r="354" customFormat="false" ht="15" hidden="false" customHeight="false" outlineLevel="0" collapsed="false">
      <c r="A354" s="10" t="s">
        <v>52</v>
      </c>
      <c r="B354" s="10" t="s">
        <v>71</v>
      </c>
      <c r="C354" s="10" t="s">
        <v>55</v>
      </c>
      <c r="D354" s="10" t="n">
        <v>0.9</v>
      </c>
      <c r="E354" s="10" t="n">
        <v>30</v>
      </c>
      <c r="F354" s="10" t="n">
        <v>1</v>
      </c>
      <c r="G354" s="10" t="n">
        <v>43</v>
      </c>
      <c r="H354" s="11" t="n">
        <v>7677.36</v>
      </c>
      <c r="I354" s="12" t="n">
        <v>10.048</v>
      </c>
    </row>
    <row r="355" customFormat="false" ht="15" hidden="false" customHeight="false" outlineLevel="0" collapsed="false">
      <c r="A355" s="14" t="s">
        <v>52</v>
      </c>
      <c r="B355" s="14" t="s">
        <v>71</v>
      </c>
      <c r="C355" s="14" t="s">
        <v>55</v>
      </c>
      <c r="D355" s="14" t="n">
        <v>0.9</v>
      </c>
      <c r="E355" s="14" t="n">
        <v>30</v>
      </c>
      <c r="F355" s="14" t="n">
        <v>2</v>
      </c>
      <c r="G355" s="14" t="n">
        <v>44</v>
      </c>
      <c r="H355" s="15" t="n">
        <v>7642.37</v>
      </c>
      <c r="I355" s="16" t="n">
        <v>10.018</v>
      </c>
    </row>
    <row r="356" customFormat="false" ht="15" hidden="false" customHeight="false" outlineLevel="0" collapsed="false">
      <c r="A356" s="10" t="s">
        <v>52</v>
      </c>
      <c r="B356" s="10" t="s">
        <v>71</v>
      </c>
      <c r="C356" s="10" t="s">
        <v>56</v>
      </c>
      <c r="D356" s="10" t="n">
        <v>0.9</v>
      </c>
      <c r="E356" s="10" t="n">
        <v>30</v>
      </c>
      <c r="F356" s="10" t="n">
        <v>0</v>
      </c>
      <c r="G356" s="10" t="n">
        <v>42</v>
      </c>
      <c r="H356" s="11" t="n">
        <v>7702.9</v>
      </c>
      <c r="I356" s="12" t="n">
        <v>10.025</v>
      </c>
    </row>
    <row r="357" customFormat="false" ht="15" hidden="false" customHeight="false" outlineLevel="0" collapsed="false">
      <c r="A357" s="14" t="s">
        <v>52</v>
      </c>
      <c r="B357" s="14" t="s">
        <v>71</v>
      </c>
      <c r="C357" s="14" t="s">
        <v>56</v>
      </c>
      <c r="D357" s="14" t="n">
        <v>0.9</v>
      </c>
      <c r="E357" s="14" t="n">
        <v>30</v>
      </c>
      <c r="F357" s="14" t="n">
        <v>1</v>
      </c>
      <c r="G357" s="14" t="n">
        <v>43</v>
      </c>
      <c r="H357" s="15" t="n">
        <v>7696.73</v>
      </c>
      <c r="I357" s="16" t="n">
        <v>10.009</v>
      </c>
    </row>
    <row r="358" customFormat="false" ht="15" hidden="false" customHeight="false" outlineLevel="0" collapsed="false">
      <c r="A358" s="10" t="s">
        <v>52</v>
      </c>
      <c r="B358" s="10" t="s">
        <v>71</v>
      </c>
      <c r="C358" s="10" t="s">
        <v>56</v>
      </c>
      <c r="D358" s="10" t="n">
        <v>0.9</v>
      </c>
      <c r="E358" s="10" t="n">
        <v>30</v>
      </c>
      <c r="F358" s="10" t="n">
        <v>2</v>
      </c>
      <c r="G358" s="10" t="n">
        <v>44</v>
      </c>
      <c r="H358" s="11" t="n">
        <v>7650.13</v>
      </c>
      <c r="I358" s="12" t="n">
        <v>10.018</v>
      </c>
    </row>
    <row r="359" customFormat="false" ht="15" hidden="false" customHeight="false" outlineLevel="0" collapsed="false">
      <c r="A359" s="14" t="s">
        <v>52</v>
      </c>
      <c r="B359" s="14" t="s">
        <v>71</v>
      </c>
      <c r="C359" s="14" t="s">
        <v>57</v>
      </c>
      <c r="D359" s="14" t="n">
        <v>0.9</v>
      </c>
      <c r="E359" s="14" t="n">
        <v>30</v>
      </c>
      <c r="F359" s="14" t="n">
        <v>0</v>
      </c>
      <c r="G359" s="14" t="n">
        <v>42</v>
      </c>
      <c r="H359" s="15" t="n">
        <v>7765.72</v>
      </c>
      <c r="I359" s="16" t="n">
        <v>10.047</v>
      </c>
    </row>
    <row r="360" customFormat="false" ht="15" hidden="false" customHeight="false" outlineLevel="0" collapsed="false">
      <c r="A360" s="10" t="s">
        <v>52</v>
      </c>
      <c r="B360" s="10" t="s">
        <v>71</v>
      </c>
      <c r="C360" s="10" t="s">
        <v>57</v>
      </c>
      <c r="D360" s="10" t="n">
        <v>0.9</v>
      </c>
      <c r="E360" s="10" t="n">
        <v>30</v>
      </c>
      <c r="F360" s="10" t="n">
        <v>1</v>
      </c>
      <c r="G360" s="10" t="n">
        <v>43</v>
      </c>
      <c r="H360" s="11" t="n">
        <v>7725.98</v>
      </c>
      <c r="I360" s="12" t="n">
        <v>10.05</v>
      </c>
    </row>
    <row r="361" customFormat="false" ht="15" hidden="false" customHeight="false" outlineLevel="0" collapsed="false">
      <c r="A361" s="14" t="s">
        <v>52</v>
      </c>
      <c r="B361" s="14" t="s">
        <v>71</v>
      </c>
      <c r="C361" s="14" t="s">
        <v>57</v>
      </c>
      <c r="D361" s="14" t="n">
        <v>0.9</v>
      </c>
      <c r="E361" s="14" t="n">
        <v>30</v>
      </c>
      <c r="F361" s="14" t="n">
        <v>2</v>
      </c>
      <c r="G361" s="14" t="n">
        <v>44</v>
      </c>
      <c r="H361" s="15" t="n">
        <v>7780.22</v>
      </c>
      <c r="I361" s="16" t="n">
        <v>10.023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7"/>
    <col collapsed="false" customWidth="true" hidden="false" outlineLevel="0" max="3" min="3" style="0" width="16"/>
    <col collapsed="false" customWidth="true" hidden="false" outlineLevel="0" max="4" min="4" style="0" width="13"/>
    <col collapsed="false" customWidth="true" hidden="false" outlineLevel="0" max="5" min="5" style="0" width="16"/>
    <col collapsed="false" customWidth="true" hidden="false" outlineLevel="0" max="6" min="6" style="0" width="17"/>
    <col collapsed="false" customWidth="true" hidden="false" outlineLevel="0" max="7" min="7" style="0" width="32"/>
    <col collapsed="false" customWidth="true" hidden="false" outlineLevel="0" max="9" min="8" style="0" width="14"/>
    <col collapsed="false" customWidth="true" hidden="false" outlineLevel="0" max="11" min="10" style="0" width="18"/>
    <col collapsed="false" customWidth="true" hidden="false" outlineLevel="0" max="12" min="12" style="0" width="23"/>
    <col collapsed="false" customWidth="true" hidden="false" outlineLevel="0" max="14" min="13" style="0" width="14"/>
    <col collapsed="false" customWidth="true" hidden="false" outlineLevel="0" max="16" min="15" style="0" width="18"/>
    <col collapsed="false" customWidth="true" hidden="false" outlineLevel="0" max="17" min="17" style="0" width="25"/>
    <col collapsed="false" customWidth="true" hidden="false" outlineLevel="0" max="18" min="18" style="0" width="18"/>
    <col collapsed="false" customWidth="true" hidden="false" outlineLevel="0" max="21" min="19" style="0" width="42"/>
    <col collapsed="false" customWidth="true" hidden="false" outlineLevel="0" max="22" min="22" style="0" width="36"/>
    <col collapsed="false" customWidth="true" hidden="false" outlineLevel="0" max="23" min="23" style="0" width="16"/>
    <col collapsed="false" customWidth="true" hidden="false" outlineLevel="0" max="24" min="24" style="0" width="11"/>
    <col collapsed="false" customWidth="true" hidden="false" outlineLevel="0" max="25" min="25" style="0" width="23"/>
    <col collapsed="false" customWidth="true" hidden="false" outlineLevel="0" max="26" min="26" style="0" width="36"/>
    <col collapsed="false" customWidth="true" hidden="false" outlineLevel="0" max="27" min="27" style="0" width="16"/>
    <col collapsed="false" customWidth="true" hidden="false" outlineLevel="0" max="28" min="28" style="0" width="11"/>
    <col collapsed="false" customWidth="true" hidden="false" outlineLevel="0" max="29" min="29" style="0" width="20"/>
    <col collapsed="false" customWidth="true" hidden="false" outlineLevel="0" max="30" min="30" style="0" width="42"/>
    <col collapsed="false" customWidth="true" hidden="false" outlineLevel="0" max="31" min="31" style="0" width="36"/>
  </cols>
  <sheetData>
    <row r="1" customFormat="false" ht="18" hidden="false" customHeight="true" outlineLevel="0" collapsed="false">
      <c r="A1" s="23" t="s">
        <v>37</v>
      </c>
      <c r="B1" s="23" t="s">
        <v>36</v>
      </c>
      <c r="C1" s="23" t="s">
        <v>72</v>
      </c>
      <c r="D1" s="23" t="s">
        <v>73</v>
      </c>
      <c r="E1" s="23" t="s">
        <v>74</v>
      </c>
      <c r="F1" s="23" t="s">
        <v>75</v>
      </c>
      <c r="G1" s="24" t="s">
        <v>76</v>
      </c>
      <c r="H1" s="24"/>
      <c r="I1" s="24"/>
      <c r="J1" s="24"/>
      <c r="K1" s="24"/>
      <c r="L1" s="24"/>
      <c r="M1" s="24"/>
      <c r="N1" s="24"/>
      <c r="O1" s="24"/>
      <c r="P1" s="24"/>
      <c r="Q1" s="24"/>
      <c r="R1" s="24"/>
      <c r="S1" s="24"/>
      <c r="T1" s="24"/>
      <c r="U1" s="25" t="s">
        <v>77</v>
      </c>
      <c r="V1" s="25"/>
      <c r="W1" s="25"/>
      <c r="X1" s="25"/>
      <c r="Y1" s="25"/>
      <c r="Z1" s="25"/>
      <c r="AA1" s="25"/>
      <c r="AB1" s="25"/>
      <c r="AC1" s="25"/>
      <c r="AD1" s="25"/>
      <c r="AE1" s="25"/>
    </row>
    <row r="2" customFormat="false" ht="18" hidden="false" customHeight="true" outlineLevel="0" collapsed="false">
      <c r="A2" s="23"/>
      <c r="B2" s="23"/>
      <c r="C2" s="23"/>
      <c r="D2" s="23"/>
      <c r="E2" s="23"/>
      <c r="F2" s="23"/>
      <c r="G2" s="26" t="s">
        <v>78</v>
      </c>
      <c r="H2" s="26"/>
      <c r="I2" s="26"/>
      <c r="J2" s="26"/>
      <c r="K2" s="26"/>
      <c r="L2" s="27" t="s">
        <v>79</v>
      </c>
      <c r="M2" s="27"/>
      <c r="N2" s="27"/>
      <c r="O2" s="27"/>
      <c r="P2" s="27"/>
      <c r="Q2" s="28" t="s">
        <v>80</v>
      </c>
      <c r="R2" s="28"/>
      <c r="S2" s="28"/>
      <c r="T2" s="28"/>
      <c r="U2" s="26" t="s">
        <v>78</v>
      </c>
      <c r="V2" s="26"/>
      <c r="W2" s="26"/>
      <c r="X2" s="26"/>
      <c r="Y2" s="27" t="s">
        <v>79</v>
      </c>
      <c r="Z2" s="27"/>
      <c r="AA2" s="27"/>
      <c r="AB2" s="27"/>
      <c r="AC2" s="25" t="s">
        <v>81</v>
      </c>
      <c r="AD2" s="25"/>
      <c r="AE2" s="25"/>
    </row>
    <row r="3" customFormat="false" ht="27.75" hidden="false" customHeight="true" outlineLevel="0" collapsed="false">
      <c r="A3" s="23"/>
      <c r="B3" s="23"/>
      <c r="C3" s="23"/>
      <c r="D3" s="23"/>
      <c r="E3" s="23"/>
      <c r="F3" s="23"/>
      <c r="G3" s="9" t="s">
        <v>39</v>
      </c>
      <c r="H3" s="9" t="s">
        <v>40</v>
      </c>
      <c r="I3" s="9" t="s">
        <v>41</v>
      </c>
      <c r="J3" s="9" t="s">
        <v>82</v>
      </c>
      <c r="K3" s="9" t="s">
        <v>83</v>
      </c>
      <c r="L3" s="29" t="s">
        <v>39</v>
      </c>
      <c r="M3" s="29" t="s">
        <v>40</v>
      </c>
      <c r="N3" s="29" t="s">
        <v>41</v>
      </c>
      <c r="O3" s="29" t="s">
        <v>82</v>
      </c>
      <c r="P3" s="29" t="s">
        <v>83</v>
      </c>
      <c r="Q3" s="30" t="s">
        <v>84</v>
      </c>
      <c r="R3" s="30" t="s">
        <v>85</v>
      </c>
      <c r="S3" s="30" t="s">
        <v>86</v>
      </c>
      <c r="T3" s="30" t="s">
        <v>87</v>
      </c>
      <c r="U3" s="9" t="s">
        <v>40</v>
      </c>
      <c r="V3" s="9" t="s">
        <v>88</v>
      </c>
      <c r="W3" s="9" t="s">
        <v>89</v>
      </c>
      <c r="X3" s="9" t="s">
        <v>83</v>
      </c>
      <c r="Y3" s="29" t="s">
        <v>40</v>
      </c>
      <c r="Z3" s="29" t="s">
        <v>88</v>
      </c>
      <c r="AA3" s="29" t="s">
        <v>89</v>
      </c>
      <c r="AB3" s="29" t="s">
        <v>83</v>
      </c>
      <c r="AC3" s="31" t="s">
        <v>90</v>
      </c>
      <c r="AD3" s="31" t="s">
        <v>91</v>
      </c>
      <c r="AE3" s="31" t="s">
        <v>92</v>
      </c>
    </row>
    <row r="4" customFormat="false" ht="15" hidden="false" customHeight="false" outlineLevel="0" collapsed="false">
      <c r="A4" s="10" t="s">
        <v>46</v>
      </c>
      <c r="B4" s="10" t="s">
        <v>45</v>
      </c>
      <c r="C4" s="11" t="n">
        <v>360.15</v>
      </c>
      <c r="D4" s="10" t="n">
        <v>0.1</v>
      </c>
      <c r="E4" s="10" t="n">
        <v>0.25</v>
      </c>
      <c r="F4" s="10" t="n">
        <v>15</v>
      </c>
      <c r="G4" s="11" t="n">
        <v>360.15</v>
      </c>
      <c r="H4" s="11" t="n">
        <v>360.15</v>
      </c>
      <c r="I4" s="11" t="n">
        <v>360.15</v>
      </c>
      <c r="J4" s="11" t="n">
        <v>0</v>
      </c>
      <c r="K4" s="12" t="n">
        <v>30.001</v>
      </c>
      <c r="L4" s="11" t="n">
        <v>360.15</v>
      </c>
      <c r="M4" s="11" t="n">
        <v>360.15</v>
      </c>
      <c r="N4" s="11" t="n">
        <v>360.15</v>
      </c>
      <c r="O4" s="11" t="n">
        <v>0</v>
      </c>
      <c r="P4" s="12" t="n">
        <v>30</v>
      </c>
      <c r="Q4" s="32" t="n">
        <f aca="false">L4-G4</f>
        <v>0</v>
      </c>
      <c r="R4" s="33" t="n">
        <f aca="false">(L4-G4)/G4</f>
        <v>0</v>
      </c>
      <c r="S4" s="10" t="str">
        <f aca="false">IF(ABS(Q4)&lt;0.01,"Empate",IF(Q4&gt;0,"BT mejora","GRASP mejor"))</f>
        <v>Empate</v>
      </c>
      <c r="T4" s="10" t="str">
        <f aca="false">IF(ABS(H4-M4)&lt;0.01,"Empate",IF(M4&gt;H4,"BT mejor","GRASP mejor"))</f>
        <v>Empate</v>
      </c>
      <c r="U4" s="11" t="n">
        <v>360.15</v>
      </c>
      <c r="V4" s="34" t="str">
        <f aca="false">IF(ABS(U4-C4)&lt;0.01,"Sí ✓","No")</f>
        <v>Sí ✓</v>
      </c>
      <c r="W4" s="13" t="n">
        <f aca="false">(C4-U4)/C4</f>
        <v>0</v>
      </c>
      <c r="X4" s="12" t="n">
        <v>30.001</v>
      </c>
      <c r="Y4" s="11" t="n">
        <v>360.15</v>
      </c>
      <c r="Z4" s="34" t="str">
        <f aca="false">IF(ABS(Y4-C4)&lt;0.01,"Sí ✓","No")</f>
        <v>Sí ✓</v>
      </c>
      <c r="AA4" s="13" t="n">
        <f aca="false">(C4-Y4)/C4</f>
        <v>0</v>
      </c>
      <c r="AB4" s="12" t="n">
        <v>30</v>
      </c>
      <c r="AC4" s="35" t="n">
        <f aca="false">Y4-U4</f>
        <v>0</v>
      </c>
      <c r="AD4" s="36" t="str">
        <f aca="false">IF(ABS(AC4)&lt;0.01,"Empate",IF(AC4&gt;0,"BT mejor","GRASP mejor"))</f>
        <v>Empate</v>
      </c>
      <c r="AE4" s="34" t="str">
        <f aca="false">IF(ABS(Y4-C4)&lt;0.01,"Sí ✓","No")</f>
        <v>Sí ✓</v>
      </c>
    </row>
    <row r="5" customFormat="false" ht="15" hidden="false" customHeight="false" outlineLevel="0" collapsed="false">
      <c r="A5" s="14" t="s">
        <v>47</v>
      </c>
      <c r="B5" s="14" t="s">
        <v>45</v>
      </c>
      <c r="C5" s="15" t="n">
        <v>355.72</v>
      </c>
      <c r="D5" s="14" t="n">
        <v>0.1</v>
      </c>
      <c r="E5" s="14" t="n">
        <v>0.25</v>
      </c>
      <c r="F5" s="14" t="n">
        <v>15</v>
      </c>
      <c r="G5" s="15" t="n">
        <v>355.72</v>
      </c>
      <c r="H5" s="15" t="n">
        <v>355.72</v>
      </c>
      <c r="I5" s="15" t="n">
        <v>355.72</v>
      </c>
      <c r="J5" s="15" t="n">
        <v>0</v>
      </c>
      <c r="K5" s="16" t="n">
        <v>30.001</v>
      </c>
      <c r="L5" s="15" t="n">
        <v>355.72</v>
      </c>
      <c r="M5" s="15" t="n">
        <v>355.72</v>
      </c>
      <c r="N5" s="15" t="n">
        <v>355.72</v>
      </c>
      <c r="O5" s="15" t="n">
        <v>0</v>
      </c>
      <c r="P5" s="16" t="n">
        <v>30</v>
      </c>
      <c r="Q5" s="37" t="n">
        <f aca="false">L5-G5</f>
        <v>0</v>
      </c>
      <c r="R5" s="38" t="n">
        <f aca="false">(L5-G5)/G5</f>
        <v>0</v>
      </c>
      <c r="S5" s="14" t="str">
        <f aca="false">IF(ABS(Q5)&lt;0.01,"Empate",IF(Q5&gt;0,"BT mejora","GRASP mejor"))</f>
        <v>Empate</v>
      </c>
      <c r="T5" s="14" t="str">
        <f aca="false">IF(ABS(H5-M5)&lt;0.01,"Empate",IF(M5&gt;H5,"BT mejor","GRASP mejor"))</f>
        <v>Empate</v>
      </c>
      <c r="U5" s="15" t="n">
        <v>355.72</v>
      </c>
      <c r="V5" s="34" t="str">
        <f aca="false">IF(ABS(U5-C5)&lt;0.01,"Sí ✓","No")</f>
        <v>Sí ✓</v>
      </c>
      <c r="W5" s="17" t="n">
        <f aca="false">(C5-U5)/C5</f>
        <v>0</v>
      </c>
      <c r="X5" s="16" t="n">
        <v>30.001</v>
      </c>
      <c r="Y5" s="15" t="n">
        <v>355.72</v>
      </c>
      <c r="Z5" s="34" t="str">
        <f aca="false">IF(ABS(Y5-C5)&lt;0.01,"Sí ✓","No")</f>
        <v>Sí ✓</v>
      </c>
      <c r="AA5" s="17" t="n">
        <f aca="false">(C5-Y5)/C5</f>
        <v>0</v>
      </c>
      <c r="AB5" s="16" t="n">
        <v>30</v>
      </c>
      <c r="AC5" s="35" t="n">
        <f aca="false">Y5-U5</f>
        <v>0</v>
      </c>
      <c r="AD5" s="36" t="str">
        <f aca="false">IF(ABS(AC5)&lt;0.01,"Empate",IF(AC5&gt;0,"BT mejor","GRASP mejor"))</f>
        <v>Empate</v>
      </c>
      <c r="AE5" s="34" t="str">
        <f aca="false">IF(ABS(Y5-C5)&lt;0.01,"Sí ✓","No")</f>
        <v>Sí ✓</v>
      </c>
    </row>
    <row r="6" customFormat="false" ht="15" hidden="false" customHeight="false" outlineLevel="0" collapsed="false">
      <c r="A6" s="10" t="s">
        <v>48</v>
      </c>
      <c r="B6" s="10" t="s">
        <v>45</v>
      </c>
      <c r="C6" s="11" t="n">
        <v>355.5</v>
      </c>
      <c r="D6" s="10" t="n">
        <v>0.1</v>
      </c>
      <c r="E6" s="10" t="n">
        <v>0.25</v>
      </c>
      <c r="F6" s="10" t="n">
        <v>15</v>
      </c>
      <c r="G6" s="11" t="n">
        <v>355.5</v>
      </c>
      <c r="H6" s="11" t="n">
        <v>355.5</v>
      </c>
      <c r="I6" s="11" t="n">
        <v>355.5</v>
      </c>
      <c r="J6" s="11" t="n">
        <v>0</v>
      </c>
      <c r="K6" s="12" t="n">
        <v>30.001</v>
      </c>
      <c r="L6" s="11" t="n">
        <v>355.5</v>
      </c>
      <c r="M6" s="11" t="n">
        <v>355.5</v>
      </c>
      <c r="N6" s="11" t="n">
        <v>355.5</v>
      </c>
      <c r="O6" s="11" t="n">
        <v>0</v>
      </c>
      <c r="P6" s="12" t="n">
        <v>30.001</v>
      </c>
      <c r="Q6" s="32" t="n">
        <f aca="false">L6-G6</f>
        <v>0</v>
      </c>
      <c r="R6" s="33" t="n">
        <f aca="false">(L6-G6)/G6</f>
        <v>0</v>
      </c>
      <c r="S6" s="10" t="str">
        <f aca="false">IF(ABS(Q6)&lt;0.01,"Empate",IF(Q6&gt;0,"BT mejora","GRASP mejor"))</f>
        <v>Empate</v>
      </c>
      <c r="T6" s="10" t="str">
        <f aca="false">IF(ABS(H6-M6)&lt;0.01,"Empate",IF(M6&gt;H6,"BT mejor","GRASP mejor"))</f>
        <v>Empate</v>
      </c>
      <c r="U6" s="11" t="n">
        <v>355.5</v>
      </c>
      <c r="V6" s="34" t="str">
        <f aca="false">IF(ABS(U6-C6)&lt;0.01,"Sí ✓","No")</f>
        <v>Sí ✓</v>
      </c>
      <c r="W6" s="13" t="n">
        <f aca="false">(C6-U6)/C6</f>
        <v>0</v>
      </c>
      <c r="X6" s="12" t="n">
        <v>30.001</v>
      </c>
      <c r="Y6" s="11" t="n">
        <v>355.5</v>
      </c>
      <c r="Z6" s="34" t="str">
        <f aca="false">IF(ABS(Y6-C6)&lt;0.01,"Sí ✓","No")</f>
        <v>Sí ✓</v>
      </c>
      <c r="AA6" s="13" t="n">
        <f aca="false">(C6-Y6)/C6</f>
        <v>0</v>
      </c>
      <c r="AB6" s="12" t="n">
        <v>30.001</v>
      </c>
      <c r="AC6" s="35" t="n">
        <f aca="false">Y6-U6</f>
        <v>0</v>
      </c>
      <c r="AD6" s="36" t="str">
        <f aca="false">IF(ABS(AC6)&lt;0.01,"Empate",IF(AC6&gt;0,"BT mejor","GRASP mejor"))</f>
        <v>Empate</v>
      </c>
      <c r="AE6" s="34" t="str">
        <f aca="false">IF(ABS(Y6-C6)&lt;0.01,"Sí ✓","No")</f>
        <v>Sí ✓</v>
      </c>
    </row>
    <row r="7" customFormat="false" ht="15" hidden="false" customHeight="false" outlineLevel="0" collapsed="false">
      <c r="A7" s="14" t="s">
        <v>49</v>
      </c>
      <c r="B7" s="14" t="s">
        <v>45</v>
      </c>
      <c r="C7" s="15" t="n">
        <v>354.25</v>
      </c>
      <c r="D7" s="14" t="n">
        <v>0.1</v>
      </c>
      <c r="E7" s="14" t="n">
        <v>0.25</v>
      </c>
      <c r="F7" s="14" t="n">
        <v>15</v>
      </c>
      <c r="G7" s="15" t="n">
        <v>354.25</v>
      </c>
      <c r="H7" s="15" t="n">
        <v>354.25</v>
      </c>
      <c r="I7" s="15" t="n">
        <v>354.25</v>
      </c>
      <c r="J7" s="15" t="n">
        <v>0</v>
      </c>
      <c r="K7" s="16" t="n">
        <v>30.001</v>
      </c>
      <c r="L7" s="15" t="n">
        <v>354.25</v>
      </c>
      <c r="M7" s="15" t="n">
        <v>354.25</v>
      </c>
      <c r="N7" s="15" t="n">
        <v>354.25</v>
      </c>
      <c r="O7" s="15" t="n">
        <v>0</v>
      </c>
      <c r="P7" s="16" t="n">
        <v>30</v>
      </c>
      <c r="Q7" s="37" t="n">
        <f aca="false">L7-G7</f>
        <v>0</v>
      </c>
      <c r="R7" s="38" t="n">
        <f aca="false">(L7-G7)/G7</f>
        <v>0</v>
      </c>
      <c r="S7" s="14" t="str">
        <f aca="false">IF(ABS(Q7)&lt;0.01,"Empate",IF(Q7&gt;0,"BT mejora","GRASP mejor"))</f>
        <v>Empate</v>
      </c>
      <c r="T7" s="14" t="str">
        <f aca="false">IF(ABS(H7-M7)&lt;0.01,"Empate",IF(M7&gt;H7,"BT mejor","GRASP mejor"))</f>
        <v>Empate</v>
      </c>
      <c r="U7" s="15" t="n">
        <v>354.25</v>
      </c>
      <c r="V7" s="34" t="str">
        <f aca="false">IF(ABS(U7-C7)&lt;0.01,"Sí ✓","No")</f>
        <v>Sí ✓</v>
      </c>
      <c r="W7" s="17" t="n">
        <f aca="false">(C7-U7)/C7</f>
        <v>0</v>
      </c>
      <c r="X7" s="16" t="n">
        <v>30.001</v>
      </c>
      <c r="Y7" s="15" t="n">
        <v>354.25</v>
      </c>
      <c r="Z7" s="34" t="str">
        <f aca="false">IF(ABS(Y7-C7)&lt;0.01,"Sí ✓","No")</f>
        <v>Sí ✓</v>
      </c>
      <c r="AA7" s="17" t="n">
        <f aca="false">(C7-Y7)/C7</f>
        <v>0</v>
      </c>
      <c r="AB7" s="16" t="n">
        <v>30</v>
      </c>
      <c r="AC7" s="35" t="n">
        <f aca="false">Y7-U7</f>
        <v>0</v>
      </c>
      <c r="AD7" s="36" t="str">
        <f aca="false">IF(ABS(AC7)&lt;0.01,"Empate",IF(AC7&gt;0,"BT mejor","GRASP mejor"))</f>
        <v>Empate</v>
      </c>
      <c r="AE7" s="34" t="str">
        <f aca="false">IF(ABS(Y7-C7)&lt;0.01,"Sí ✓","No")</f>
        <v>Sí ✓</v>
      </c>
    </row>
    <row r="8" customFormat="false" ht="15" hidden="false" customHeight="false" outlineLevel="0" collapsed="false">
      <c r="A8" s="10" t="s">
        <v>50</v>
      </c>
      <c r="B8" s="10" t="s">
        <v>45</v>
      </c>
      <c r="C8" s="11" t="n">
        <v>356.06</v>
      </c>
      <c r="D8" s="10" t="n">
        <v>0.1</v>
      </c>
      <c r="E8" s="10" t="n">
        <v>0.25</v>
      </c>
      <c r="F8" s="10" t="n">
        <v>15</v>
      </c>
      <c r="G8" s="11" t="n">
        <v>356.06</v>
      </c>
      <c r="H8" s="11" t="n">
        <v>356.06</v>
      </c>
      <c r="I8" s="11" t="n">
        <v>356.06</v>
      </c>
      <c r="J8" s="11" t="n">
        <v>0</v>
      </c>
      <c r="K8" s="12" t="n">
        <v>30.001</v>
      </c>
      <c r="L8" s="11" t="n">
        <v>356.06</v>
      </c>
      <c r="M8" s="11" t="n">
        <v>356.06</v>
      </c>
      <c r="N8" s="11" t="n">
        <v>356.06</v>
      </c>
      <c r="O8" s="11" t="n">
        <v>0</v>
      </c>
      <c r="P8" s="12" t="n">
        <v>30.001</v>
      </c>
      <c r="Q8" s="32" t="n">
        <f aca="false">L8-G8</f>
        <v>0</v>
      </c>
      <c r="R8" s="33" t="n">
        <f aca="false">(L8-G8)/G8</f>
        <v>0</v>
      </c>
      <c r="S8" s="10" t="str">
        <f aca="false">IF(ABS(Q8)&lt;0.01,"Empate",IF(Q8&gt;0,"BT mejora","GRASP mejor"))</f>
        <v>Empate</v>
      </c>
      <c r="T8" s="10" t="str">
        <f aca="false">IF(ABS(H8-M8)&lt;0.01,"Empate",IF(M8&gt;H8,"BT mejor","GRASP mejor"))</f>
        <v>Empate</v>
      </c>
      <c r="U8" s="11" t="n">
        <v>356.06</v>
      </c>
      <c r="V8" s="34" t="str">
        <f aca="false">IF(ABS(U8-C8)&lt;0.01,"Sí ✓","No")</f>
        <v>Sí ✓</v>
      </c>
      <c r="W8" s="13" t="n">
        <f aca="false">(C8-U8)/C8</f>
        <v>0</v>
      </c>
      <c r="X8" s="12" t="n">
        <v>30.001</v>
      </c>
      <c r="Y8" s="11" t="n">
        <v>356.06</v>
      </c>
      <c r="Z8" s="34" t="str">
        <f aca="false">IF(ABS(Y8-C8)&lt;0.01,"Sí ✓","No")</f>
        <v>Sí ✓</v>
      </c>
      <c r="AA8" s="13" t="n">
        <f aca="false">(C8-Y8)/C8</f>
        <v>0</v>
      </c>
      <c r="AB8" s="12" t="n">
        <v>30.001</v>
      </c>
      <c r="AC8" s="35" t="n">
        <f aca="false">Y8-U8</f>
        <v>0</v>
      </c>
      <c r="AD8" s="36" t="str">
        <f aca="false">IF(ABS(AC8)&lt;0.01,"Empate",IF(AC8&gt;0,"BT mejor","GRASP mejor"))</f>
        <v>Empate</v>
      </c>
      <c r="AE8" s="34" t="str">
        <f aca="false">IF(ABS(Y8-C8)&lt;0.01,"Sí ✓","No")</f>
        <v>Sí ✓</v>
      </c>
    </row>
    <row r="9" customFormat="false" ht="15" hidden="false" customHeight="false" outlineLevel="0" collapsed="false">
      <c r="A9" s="14" t="s">
        <v>93</v>
      </c>
      <c r="B9" s="14" t="s">
        <v>45</v>
      </c>
      <c r="C9" s="15" t="n">
        <v>349.31</v>
      </c>
      <c r="D9" s="14" t="n">
        <v>0.1</v>
      </c>
      <c r="E9" s="14" t="n">
        <v>0.25</v>
      </c>
      <c r="F9" s="14" t="n">
        <v>15</v>
      </c>
      <c r="G9" s="15" t="n">
        <v>349.31</v>
      </c>
      <c r="H9" s="15" t="n">
        <v>349.31</v>
      </c>
      <c r="I9" s="15" t="n">
        <v>349.31</v>
      </c>
      <c r="J9" s="15" t="n">
        <v>0</v>
      </c>
      <c r="K9" s="16" t="n">
        <v>30.001</v>
      </c>
      <c r="L9" s="15" t="n">
        <v>349.31</v>
      </c>
      <c r="M9" s="15" t="n">
        <v>349.31</v>
      </c>
      <c r="N9" s="15" t="n">
        <v>349.31</v>
      </c>
      <c r="O9" s="15" t="n">
        <v>0</v>
      </c>
      <c r="P9" s="16" t="n">
        <v>30.001</v>
      </c>
      <c r="Q9" s="37" t="n">
        <f aca="false">L9-G9</f>
        <v>0</v>
      </c>
      <c r="R9" s="38" t="n">
        <f aca="false">(L9-G9)/G9</f>
        <v>0</v>
      </c>
      <c r="S9" s="14" t="str">
        <f aca="false">IF(ABS(Q9)&lt;0.01,"Empate",IF(Q9&gt;0,"BT mejora","GRASP mejor"))</f>
        <v>Empate</v>
      </c>
      <c r="T9" s="14" t="str">
        <f aca="false">IF(ABS(H9-M9)&lt;0.01,"Empate",IF(M9&gt;H9,"BT mejor","GRASP mejor"))</f>
        <v>Empate</v>
      </c>
      <c r="U9" s="15" t="n">
        <v>349.31</v>
      </c>
      <c r="V9" s="34" t="str">
        <f aca="false">IF(ABS(U9-C9)&lt;0.01,"Sí ✓","No")</f>
        <v>Sí ✓</v>
      </c>
      <c r="W9" s="17" t="n">
        <f aca="false">(C9-U9)/C9</f>
        <v>0</v>
      </c>
      <c r="X9" s="16" t="n">
        <v>30.001</v>
      </c>
      <c r="Y9" s="15" t="n">
        <v>349.31</v>
      </c>
      <c r="Z9" s="34" t="str">
        <f aca="false">IF(ABS(Y9-C9)&lt;0.01,"Sí ✓","No")</f>
        <v>Sí ✓</v>
      </c>
      <c r="AA9" s="17" t="n">
        <f aca="false">(C9-Y9)/C9</f>
        <v>0</v>
      </c>
      <c r="AB9" s="16" t="n">
        <v>30.001</v>
      </c>
      <c r="AC9" s="35" t="n">
        <f aca="false">Y9-U9</f>
        <v>0</v>
      </c>
      <c r="AD9" s="36" t="str">
        <f aca="false">IF(ABS(AC9)&lt;0.01,"Empate",IF(AC9&gt;0,"BT mejor","GRASP mejor"))</f>
        <v>Empate</v>
      </c>
      <c r="AE9" s="34" t="str">
        <f aca="false">IF(ABS(Y9-C9)&lt;0.01,"Sí ✓","No")</f>
        <v>Sí ✓</v>
      </c>
    </row>
    <row r="10" customFormat="false" ht="15" hidden="false" customHeight="false" outlineLevel="0" collapsed="false">
      <c r="A10" s="10" t="s">
        <v>53</v>
      </c>
      <c r="B10" s="10" t="s">
        <v>52</v>
      </c>
      <c r="C10" s="11" t="n">
        <v>7756.24</v>
      </c>
      <c r="D10" s="10" t="n">
        <v>0.1</v>
      </c>
      <c r="E10" s="10" t="n">
        <v>0.9</v>
      </c>
      <c r="F10" s="10" t="n">
        <v>10</v>
      </c>
      <c r="G10" s="11" t="n">
        <v>7695.5</v>
      </c>
      <c r="H10" s="11" t="n">
        <v>7722.22</v>
      </c>
      <c r="I10" s="11" t="n">
        <v>7668.9</v>
      </c>
      <c r="J10" s="11" t="n">
        <v>22.6724</v>
      </c>
      <c r="K10" s="12" t="n">
        <v>30.212</v>
      </c>
      <c r="L10" s="11" t="n">
        <v>7694.42</v>
      </c>
      <c r="M10" s="11" t="n">
        <v>7756.24</v>
      </c>
      <c r="N10" s="11" t="n">
        <v>7648.87</v>
      </c>
      <c r="O10" s="11" t="n">
        <v>40.2191</v>
      </c>
      <c r="P10" s="12" t="n">
        <v>30.03</v>
      </c>
      <c r="Q10" s="32" t="n">
        <f aca="false">L10-G10</f>
        <v>-1.07999999999993</v>
      </c>
      <c r="R10" s="33" t="n">
        <f aca="false">(L10-G10)/G10</f>
        <v>-0.00014034175817035</v>
      </c>
      <c r="S10" s="10" t="str">
        <f aca="false">IF(ABS(Q10)&lt;0.01,"Empate",IF(Q10&gt;0,"BT mejora","GRASP mejor"))</f>
        <v>GRASP mejor</v>
      </c>
      <c r="T10" s="10" t="str">
        <f aca="false">IF(ABS(H10-M10)&lt;0.01,"Empate",IF(M10&gt;H10,"BT mejor","GRASP mejor"))</f>
        <v>BT mejor</v>
      </c>
      <c r="U10" s="11" t="n">
        <v>7722.22</v>
      </c>
      <c r="V10" s="10" t="str">
        <f aca="false">IF(ABS(U10-C10)&lt;0.01,"Sí ✓","No")</f>
        <v>No</v>
      </c>
      <c r="W10" s="13" t="n">
        <f aca="false">(C10-U10)/C10</f>
        <v>0.00438614586449098</v>
      </c>
      <c r="X10" s="12" t="n">
        <v>30.212</v>
      </c>
      <c r="Y10" s="11" t="n">
        <v>7756.24</v>
      </c>
      <c r="Z10" s="34" t="str">
        <f aca="false">IF(ABS(Y10-C10)&lt;0.01,"Sí ✓","No")</f>
        <v>Sí ✓</v>
      </c>
      <c r="AA10" s="13" t="n">
        <f aca="false">(C10-Y10)/C10</f>
        <v>0</v>
      </c>
      <c r="AB10" s="12" t="n">
        <v>30.03</v>
      </c>
      <c r="AC10" s="39" t="n">
        <f aca="false">Y10-U10</f>
        <v>34.0199999999995</v>
      </c>
      <c r="AD10" s="40" t="str">
        <f aca="false">IF(ABS(AC10)&lt;0.01,"Empate",IF(AC10&gt;0,"BT mejor","GRASP mejor"))</f>
        <v>BT mejor</v>
      </c>
      <c r="AE10" s="34" t="str">
        <f aca="false">IF(ABS(Y10-C10)&lt;0.01,"Sí ✓","No")</f>
        <v>Sí ✓</v>
      </c>
    </row>
    <row r="11" customFormat="false" ht="15" hidden="false" customHeight="false" outlineLevel="0" collapsed="false">
      <c r="A11" s="14" t="s">
        <v>54</v>
      </c>
      <c r="B11" s="14" t="s">
        <v>52</v>
      </c>
      <c r="C11" s="15" t="n">
        <v>7755.23</v>
      </c>
      <c r="D11" s="14" t="n">
        <v>0.1</v>
      </c>
      <c r="E11" s="14" t="n">
        <v>0.9</v>
      </c>
      <c r="F11" s="14" t="n">
        <v>10</v>
      </c>
      <c r="G11" s="15" t="n">
        <v>7697.35</v>
      </c>
      <c r="H11" s="15" t="n">
        <v>7746</v>
      </c>
      <c r="I11" s="15" t="n">
        <v>7671.91</v>
      </c>
      <c r="J11" s="15" t="n">
        <v>29.1648</v>
      </c>
      <c r="K11" s="16" t="n">
        <v>30.393</v>
      </c>
      <c r="L11" s="15" t="n">
        <v>7635.25</v>
      </c>
      <c r="M11" s="15" t="n">
        <v>7755.23</v>
      </c>
      <c r="N11" s="15" t="n">
        <v>7560.8</v>
      </c>
      <c r="O11" s="15" t="n">
        <v>77.7053</v>
      </c>
      <c r="P11" s="16" t="n">
        <v>30.019</v>
      </c>
      <c r="Q11" s="37" t="n">
        <f aca="false">L11-G11</f>
        <v>-62.1000000000004</v>
      </c>
      <c r="R11" s="38" t="n">
        <f aca="false">(L11-G11)/G11</f>
        <v>-0.00806771161503639</v>
      </c>
      <c r="S11" s="14" t="str">
        <f aca="false">IF(ABS(Q11)&lt;0.01,"Empate",IF(Q11&gt;0,"BT mejora","GRASP mejor"))</f>
        <v>GRASP mejor</v>
      </c>
      <c r="T11" s="14" t="str">
        <f aca="false">IF(ABS(H11-M11)&lt;0.01,"Empate",IF(M11&gt;H11,"BT mejor","GRASP mejor"))</f>
        <v>BT mejor</v>
      </c>
      <c r="U11" s="15" t="n">
        <v>7746</v>
      </c>
      <c r="V11" s="14" t="str">
        <f aca="false">IF(ABS(U11-C11)&lt;0.01,"Sí ✓","No")</f>
        <v>No</v>
      </c>
      <c r="W11" s="17" t="n">
        <f aca="false">(C11-U11)/C11</f>
        <v>0.00119016457281081</v>
      </c>
      <c r="X11" s="16" t="n">
        <v>30.393</v>
      </c>
      <c r="Y11" s="15" t="n">
        <v>7755.23</v>
      </c>
      <c r="Z11" s="34" t="str">
        <f aca="false">IF(ABS(Y11-C11)&lt;0.01,"Sí ✓","No")</f>
        <v>Sí ✓</v>
      </c>
      <c r="AA11" s="17" t="n">
        <f aca="false">(C11-Y11)/C11</f>
        <v>0</v>
      </c>
      <c r="AB11" s="16" t="n">
        <v>30.019</v>
      </c>
      <c r="AC11" s="39" t="n">
        <f aca="false">Y11-U11</f>
        <v>9.22999999999956</v>
      </c>
      <c r="AD11" s="40" t="str">
        <f aca="false">IF(ABS(AC11)&lt;0.01,"Empate",IF(AC11&gt;0,"BT mejor","GRASP mejor"))</f>
        <v>BT mejor</v>
      </c>
      <c r="AE11" s="34" t="str">
        <f aca="false">IF(ABS(Y11-C11)&lt;0.01,"Sí ✓","No")</f>
        <v>Sí ✓</v>
      </c>
    </row>
    <row r="12" customFormat="false" ht="15" hidden="false" customHeight="false" outlineLevel="0" collapsed="false">
      <c r="A12" s="10" t="s">
        <v>55</v>
      </c>
      <c r="B12" s="10" t="s">
        <v>52</v>
      </c>
      <c r="C12" s="11" t="n">
        <v>7752.31</v>
      </c>
      <c r="D12" s="10" t="n">
        <v>0.1</v>
      </c>
      <c r="E12" s="10" t="n">
        <v>0.9</v>
      </c>
      <c r="F12" s="10" t="n">
        <v>10</v>
      </c>
      <c r="G12" s="11" t="n">
        <v>7712.16</v>
      </c>
      <c r="H12" s="11" t="n">
        <v>7752.31</v>
      </c>
      <c r="I12" s="11" t="n">
        <v>7681.87</v>
      </c>
      <c r="J12" s="11" t="n">
        <v>26.7853</v>
      </c>
      <c r="K12" s="12" t="n">
        <v>30.205</v>
      </c>
      <c r="L12" s="11" t="n">
        <v>7691.21</v>
      </c>
      <c r="M12" s="11" t="n">
        <v>7726.58</v>
      </c>
      <c r="N12" s="11" t="n">
        <v>7643.33</v>
      </c>
      <c r="O12" s="11" t="n">
        <v>31.4912</v>
      </c>
      <c r="P12" s="12" t="n">
        <v>30.029</v>
      </c>
      <c r="Q12" s="32" t="n">
        <f aca="false">L12-G12</f>
        <v>-20.9499999999998</v>
      </c>
      <c r="R12" s="33" t="n">
        <f aca="false">(L12-G12)/G12</f>
        <v>-0.00271648928445466</v>
      </c>
      <c r="S12" s="10" t="str">
        <f aca="false">IF(ABS(Q12)&lt;0.01,"Empate",IF(Q12&gt;0,"BT mejora","GRASP mejor"))</f>
        <v>GRASP mejor</v>
      </c>
      <c r="T12" s="10" t="str">
        <f aca="false">IF(ABS(H12-M12)&lt;0.01,"Empate",IF(M12&gt;H12,"BT mejor","GRASP mejor"))</f>
        <v>GRASP mejor</v>
      </c>
      <c r="U12" s="11" t="n">
        <v>7752.31</v>
      </c>
      <c r="V12" s="34" t="str">
        <f aca="false">IF(ABS(U12-C12)&lt;0.01,"Sí ✓","No")</f>
        <v>Sí ✓</v>
      </c>
      <c r="W12" s="13" t="n">
        <f aca="false">(C12-U12)/C12</f>
        <v>0</v>
      </c>
      <c r="X12" s="12" t="n">
        <v>30.205</v>
      </c>
      <c r="Y12" s="11" t="n">
        <v>7726.58</v>
      </c>
      <c r="Z12" s="10" t="str">
        <f aca="false">IF(ABS(Y12-C12)&lt;0.01,"Sí ✓","No")</f>
        <v>No</v>
      </c>
      <c r="AA12" s="13" t="n">
        <f aca="false">(C12-Y12)/C12</f>
        <v>0.00331901072067558</v>
      </c>
      <c r="AB12" s="12" t="n">
        <v>30.029</v>
      </c>
      <c r="AC12" s="41" t="n">
        <f aca="false">Y12-U12</f>
        <v>-25.7300000000005</v>
      </c>
      <c r="AD12" s="42" t="str">
        <f aca="false">IF(ABS(AC12)&lt;0.01,"Empate",IF(AC12&gt;0,"BT mejor","GRASP mejor"))</f>
        <v>GRASP mejor</v>
      </c>
      <c r="AE12" s="10" t="str">
        <f aca="false">IF(ABS(Y12-C12)&lt;0.01,"Sí ✓","No")</f>
        <v>No</v>
      </c>
    </row>
    <row r="13" customFormat="false" ht="15" hidden="false" customHeight="false" outlineLevel="0" collapsed="false">
      <c r="A13" s="14" t="s">
        <v>56</v>
      </c>
      <c r="B13" s="14" t="s">
        <v>52</v>
      </c>
      <c r="C13" s="15" t="n">
        <v>7755.2</v>
      </c>
      <c r="D13" s="14" t="n">
        <v>0.1</v>
      </c>
      <c r="E13" s="14" t="n">
        <v>0.9</v>
      </c>
      <c r="F13" s="14" t="n">
        <v>10</v>
      </c>
      <c r="G13" s="15" t="n">
        <v>7730.84</v>
      </c>
      <c r="H13" s="15" t="n">
        <v>7749.4</v>
      </c>
      <c r="I13" s="15" t="n">
        <v>7716.37</v>
      </c>
      <c r="J13" s="15" t="n">
        <v>11.9328</v>
      </c>
      <c r="K13" s="16" t="n">
        <v>30.364</v>
      </c>
      <c r="L13" s="15" t="n">
        <v>7700.91</v>
      </c>
      <c r="M13" s="15" t="n">
        <v>7755.2</v>
      </c>
      <c r="N13" s="15" t="n">
        <v>7653.43</v>
      </c>
      <c r="O13" s="15" t="n">
        <v>40.8215</v>
      </c>
      <c r="P13" s="16" t="n">
        <v>30.028</v>
      </c>
      <c r="Q13" s="37" t="n">
        <f aca="false">L13-G13</f>
        <v>-29.9300000000003</v>
      </c>
      <c r="R13" s="38" t="n">
        <f aca="false">(L13-G13)/G13</f>
        <v>-0.00387150684789755</v>
      </c>
      <c r="S13" s="14" t="str">
        <f aca="false">IF(ABS(Q13)&lt;0.01,"Empate",IF(Q13&gt;0,"BT mejora","GRASP mejor"))</f>
        <v>GRASP mejor</v>
      </c>
      <c r="T13" s="14" t="str">
        <f aca="false">IF(ABS(H13-M13)&lt;0.01,"Empate",IF(M13&gt;H13,"BT mejor","GRASP mejor"))</f>
        <v>BT mejor</v>
      </c>
      <c r="U13" s="15" t="n">
        <v>7749.4</v>
      </c>
      <c r="V13" s="14" t="str">
        <f aca="false">IF(ABS(U13-C13)&lt;0.01,"Sí ✓","No")</f>
        <v>No</v>
      </c>
      <c r="W13" s="17" t="n">
        <f aca="false">(C13-U13)/C13</f>
        <v>0.000747885289870046</v>
      </c>
      <c r="X13" s="16" t="n">
        <v>30.364</v>
      </c>
      <c r="Y13" s="15" t="n">
        <v>7755.2</v>
      </c>
      <c r="Z13" s="34" t="str">
        <f aca="false">IF(ABS(Y13-C13)&lt;0.01,"Sí ✓","No")</f>
        <v>Sí ✓</v>
      </c>
      <c r="AA13" s="17" t="n">
        <f aca="false">(C13-Y13)/C13</f>
        <v>0</v>
      </c>
      <c r="AB13" s="16" t="n">
        <v>30.028</v>
      </c>
      <c r="AC13" s="39" t="n">
        <f aca="false">Y13-U13</f>
        <v>5.80000000000018</v>
      </c>
      <c r="AD13" s="40" t="str">
        <f aca="false">IF(ABS(AC13)&lt;0.01,"Empate",IF(AC13&gt;0,"BT mejor","GRASP mejor"))</f>
        <v>BT mejor</v>
      </c>
      <c r="AE13" s="34" t="str">
        <f aca="false">IF(ABS(Y13-C13)&lt;0.01,"Sí ✓","No")</f>
        <v>Sí ✓</v>
      </c>
    </row>
    <row r="14" customFormat="false" ht="15" hidden="false" customHeight="false" outlineLevel="0" collapsed="false">
      <c r="A14" s="10" t="s">
        <v>57</v>
      </c>
      <c r="B14" s="10" t="s">
        <v>52</v>
      </c>
      <c r="C14" s="11" t="n">
        <v>7780.22</v>
      </c>
      <c r="D14" s="10" t="n">
        <v>0.1</v>
      </c>
      <c r="E14" s="10" t="n">
        <v>0.9</v>
      </c>
      <c r="F14" s="10" t="n">
        <v>10</v>
      </c>
      <c r="G14" s="11" t="n">
        <v>7737.72</v>
      </c>
      <c r="H14" s="11" t="n">
        <v>7748.34</v>
      </c>
      <c r="I14" s="11" t="n">
        <v>7724.21</v>
      </c>
      <c r="J14" s="11" t="n">
        <v>8.6987</v>
      </c>
      <c r="K14" s="12" t="n">
        <v>30.311</v>
      </c>
      <c r="L14" s="11" t="n">
        <v>7747.95</v>
      </c>
      <c r="M14" s="11" t="n">
        <v>7780.22</v>
      </c>
      <c r="N14" s="11" t="n">
        <v>7691.81</v>
      </c>
      <c r="O14" s="11" t="n">
        <v>36.9898</v>
      </c>
      <c r="P14" s="12" t="n">
        <v>30.031</v>
      </c>
      <c r="Q14" s="32" t="n">
        <f aca="false">L14-G14</f>
        <v>10.2299999999996</v>
      </c>
      <c r="R14" s="33" t="n">
        <f aca="false">(L14-G14)/G14</f>
        <v>0.00132209488066246</v>
      </c>
      <c r="S14" s="10" t="str">
        <f aca="false">IF(ABS(Q14)&lt;0.01,"Empate",IF(Q14&gt;0,"BT mejora","GRASP mejor"))</f>
        <v>BT mejora</v>
      </c>
      <c r="T14" s="10" t="str">
        <f aca="false">IF(ABS(H14-M14)&lt;0.01,"Empate",IF(M14&gt;H14,"BT mejor","GRASP mejor"))</f>
        <v>BT mejor</v>
      </c>
      <c r="U14" s="11" t="n">
        <v>7748.34</v>
      </c>
      <c r="V14" s="10" t="str">
        <f aca="false">IF(ABS(U14-C14)&lt;0.01,"Sí ✓","No")</f>
        <v>No</v>
      </c>
      <c r="W14" s="13" t="n">
        <f aca="false">(C14-U14)/C14</f>
        <v>0.00409757050571836</v>
      </c>
      <c r="X14" s="12" t="n">
        <v>30.311</v>
      </c>
      <c r="Y14" s="11" t="n">
        <v>7780.22</v>
      </c>
      <c r="Z14" s="34" t="str">
        <f aca="false">IF(ABS(Y14-C14)&lt;0.01,"Sí ✓","No")</f>
        <v>Sí ✓</v>
      </c>
      <c r="AA14" s="13" t="n">
        <f aca="false">(C14-Y14)/C14</f>
        <v>0</v>
      </c>
      <c r="AB14" s="12" t="n">
        <v>30.031</v>
      </c>
      <c r="AC14" s="39" t="n">
        <f aca="false">Y14-U14</f>
        <v>31.8800000000001</v>
      </c>
      <c r="AD14" s="40" t="str">
        <f aca="false">IF(ABS(AC14)&lt;0.01,"Empate",IF(AC14&gt;0,"BT mejor","GRASP mejor"))</f>
        <v>BT mejor</v>
      </c>
      <c r="AE14" s="34" t="str">
        <f aca="false">IF(ABS(Y14-C14)&lt;0.01,"Sí ✓","No")</f>
        <v>Sí ✓</v>
      </c>
    </row>
    <row r="15" customFormat="false" ht="15" hidden="false" customHeight="false" outlineLevel="0" collapsed="false">
      <c r="A15" s="14" t="s">
        <v>94</v>
      </c>
      <c r="B15" s="14" t="s">
        <v>52</v>
      </c>
      <c r="C15" s="15" t="n">
        <v>7757.5</v>
      </c>
      <c r="D15" s="14" t="n">
        <v>0.1</v>
      </c>
      <c r="E15" s="14" t="n">
        <v>0.9</v>
      </c>
      <c r="F15" s="14" t="n">
        <v>10</v>
      </c>
      <c r="G15" s="15" t="n">
        <v>7739.38</v>
      </c>
      <c r="H15" s="15" t="n">
        <v>7757.5</v>
      </c>
      <c r="I15" s="15" t="n">
        <v>7713.12</v>
      </c>
      <c r="J15" s="15" t="n">
        <v>18.2951</v>
      </c>
      <c r="K15" s="16" t="n">
        <v>30.25</v>
      </c>
      <c r="L15" s="15" t="n">
        <v>7690.25</v>
      </c>
      <c r="M15" s="15" t="n">
        <v>7728.4</v>
      </c>
      <c r="N15" s="15" t="n">
        <v>7653.24</v>
      </c>
      <c r="O15" s="15" t="n">
        <v>31.0416</v>
      </c>
      <c r="P15" s="16" t="n">
        <v>30.019</v>
      </c>
      <c r="Q15" s="37" t="n">
        <f aca="false">L15-G15</f>
        <v>-49.1300000000001</v>
      </c>
      <c r="R15" s="38" t="n">
        <f aca="false">(L15-G15)/G15</f>
        <v>-0.00634805372006545</v>
      </c>
      <c r="S15" s="14" t="str">
        <f aca="false">IF(ABS(Q15)&lt;0.01,"Empate",IF(Q15&gt;0,"BT mejora","GRASP mejor"))</f>
        <v>GRASP mejor</v>
      </c>
      <c r="T15" s="14" t="str">
        <f aca="false">IF(ABS(H15-M15)&lt;0.01,"Empate",IF(M15&gt;H15,"BT mejor","GRASP mejor"))</f>
        <v>GRASP mejor</v>
      </c>
      <c r="U15" s="15" t="n">
        <v>7757.5</v>
      </c>
      <c r="V15" s="34" t="str">
        <f aca="false">IF(ABS(U15-C15)&lt;0.01,"Sí ✓","No")</f>
        <v>Sí ✓</v>
      </c>
      <c r="W15" s="17" t="n">
        <f aca="false">(C15-U15)/C15</f>
        <v>0</v>
      </c>
      <c r="X15" s="16" t="n">
        <v>30.25</v>
      </c>
      <c r="Y15" s="15" t="n">
        <v>7728.4</v>
      </c>
      <c r="Z15" s="14" t="str">
        <f aca="false">IF(ABS(Y15-C15)&lt;0.01,"Sí ✓","No")</f>
        <v>No</v>
      </c>
      <c r="AA15" s="17" t="n">
        <f aca="false">(C15-Y15)/C15</f>
        <v>0.00375120850789563</v>
      </c>
      <c r="AB15" s="16" t="n">
        <v>30.019</v>
      </c>
      <c r="AC15" s="41" t="n">
        <f aca="false">Y15-U15</f>
        <v>-29.1000000000004</v>
      </c>
      <c r="AD15" s="42" t="str">
        <f aca="false">IF(ABS(AC15)&lt;0.01,"Empate",IF(AC15&gt;0,"BT mejor","GRASP mejor"))</f>
        <v>GRASP mejor</v>
      </c>
      <c r="AE15" s="14" t="str">
        <f aca="false">IF(ABS(Y15-C15)&lt;0.01,"Sí ✓","No")</f>
        <v>No</v>
      </c>
    </row>
    <row r="16" customFormat="false" ht="15" hidden="false" customHeight="false" outlineLevel="0" collapsed="false">
      <c r="A16" s="10" t="s">
        <v>95</v>
      </c>
      <c r="B16" s="10" t="s">
        <v>52</v>
      </c>
      <c r="C16" s="11" t="n">
        <v>7785.3</v>
      </c>
      <c r="D16" s="10" t="n">
        <v>0.1</v>
      </c>
      <c r="E16" s="10" t="n">
        <v>0.9</v>
      </c>
      <c r="F16" s="10" t="n">
        <v>10</v>
      </c>
      <c r="G16" s="11" t="n">
        <v>7723.03</v>
      </c>
      <c r="H16" s="11" t="n">
        <v>7756.16</v>
      </c>
      <c r="I16" s="11" t="n">
        <v>7692.77</v>
      </c>
      <c r="J16" s="11" t="n">
        <v>29.4929</v>
      </c>
      <c r="K16" s="12" t="n">
        <v>30.328</v>
      </c>
      <c r="L16" s="11" t="n">
        <v>7704.35</v>
      </c>
      <c r="M16" s="11" t="n">
        <v>7785.3</v>
      </c>
      <c r="N16" s="11" t="n">
        <v>7633.16</v>
      </c>
      <c r="O16" s="11" t="n">
        <v>54.8396</v>
      </c>
      <c r="P16" s="12" t="n">
        <v>30.025</v>
      </c>
      <c r="Q16" s="32" t="n">
        <f aca="false">L16-G16</f>
        <v>-18.6799999999994</v>
      </c>
      <c r="R16" s="33" t="n">
        <f aca="false">(L16-G16)/G16</f>
        <v>-0.00241873979513214</v>
      </c>
      <c r="S16" s="10" t="str">
        <f aca="false">IF(ABS(Q16)&lt;0.01,"Empate",IF(Q16&gt;0,"BT mejora","GRASP mejor"))</f>
        <v>GRASP mejor</v>
      </c>
      <c r="T16" s="10" t="str">
        <f aca="false">IF(ABS(H16-M16)&lt;0.01,"Empate",IF(M16&gt;H16,"BT mejor","GRASP mejor"))</f>
        <v>BT mejor</v>
      </c>
      <c r="U16" s="11" t="n">
        <v>7756.16</v>
      </c>
      <c r="V16" s="10" t="str">
        <f aca="false">IF(ABS(U16-C16)&lt;0.01,"Sí ✓","No")</f>
        <v>No</v>
      </c>
      <c r="W16" s="13" t="n">
        <f aca="false">(C16-U16)/C16</f>
        <v>0.00374295145980249</v>
      </c>
      <c r="X16" s="12" t="n">
        <v>30.328</v>
      </c>
      <c r="Y16" s="11" t="n">
        <v>7785.3</v>
      </c>
      <c r="Z16" s="34" t="str">
        <f aca="false">IF(ABS(Y16-C16)&lt;0.01,"Sí ✓","No")</f>
        <v>Sí ✓</v>
      </c>
      <c r="AA16" s="13" t="n">
        <f aca="false">(C16-Y16)/C16</f>
        <v>0</v>
      </c>
      <c r="AB16" s="12" t="n">
        <v>30.025</v>
      </c>
      <c r="AC16" s="39" t="n">
        <f aca="false">Y16-U16</f>
        <v>29.1400000000003</v>
      </c>
      <c r="AD16" s="40" t="str">
        <f aca="false">IF(ABS(AC16)&lt;0.01,"Empate",IF(AC16&gt;0,"BT mejor","GRASP mejor"))</f>
        <v>BT mejor</v>
      </c>
      <c r="AE16" s="34" t="str">
        <f aca="false">IF(ABS(Y16-C16)&lt;0.01,"Sí ✓","No")</f>
        <v>Sí ✓</v>
      </c>
    </row>
    <row r="17" customFormat="false" ht="15" hidden="false" customHeight="false" outlineLevel="0" collapsed="false">
      <c r="A17" s="14" t="s">
        <v>96</v>
      </c>
      <c r="B17" s="14" t="s">
        <v>52</v>
      </c>
      <c r="C17" s="15" t="n">
        <v>7729.01</v>
      </c>
      <c r="D17" s="14" t="n">
        <v>0.1</v>
      </c>
      <c r="E17" s="14" t="n">
        <v>0.9</v>
      </c>
      <c r="F17" s="14" t="n">
        <v>10</v>
      </c>
      <c r="G17" s="15" t="n">
        <v>7702.49</v>
      </c>
      <c r="H17" s="15" t="n">
        <v>7729.01</v>
      </c>
      <c r="I17" s="15" t="n">
        <v>7675</v>
      </c>
      <c r="J17" s="15" t="n">
        <v>20.255</v>
      </c>
      <c r="K17" s="16" t="n">
        <v>30.345</v>
      </c>
      <c r="L17" s="15" t="n">
        <v>7677.74</v>
      </c>
      <c r="M17" s="15" t="n">
        <v>7722.68</v>
      </c>
      <c r="N17" s="15" t="n">
        <v>7645.06</v>
      </c>
      <c r="O17" s="15" t="n">
        <v>28.9908</v>
      </c>
      <c r="P17" s="16" t="n">
        <v>30.026</v>
      </c>
      <c r="Q17" s="37" t="n">
        <f aca="false">L17-G17</f>
        <v>-24.75</v>
      </c>
      <c r="R17" s="38" t="n">
        <f aca="false">(L17-G17)/G17</f>
        <v>-0.0032132466254419</v>
      </c>
      <c r="S17" s="14" t="str">
        <f aca="false">IF(ABS(Q17)&lt;0.01,"Empate",IF(Q17&gt;0,"BT mejora","GRASP mejor"))</f>
        <v>GRASP mejor</v>
      </c>
      <c r="T17" s="14" t="str">
        <f aca="false">IF(ABS(H17-M17)&lt;0.01,"Empate",IF(M17&gt;H17,"BT mejor","GRASP mejor"))</f>
        <v>GRASP mejor</v>
      </c>
      <c r="U17" s="15" t="n">
        <v>7729.01</v>
      </c>
      <c r="V17" s="34" t="str">
        <f aca="false">IF(ABS(U17-C17)&lt;0.01,"Sí ✓","No")</f>
        <v>Sí ✓</v>
      </c>
      <c r="W17" s="17" t="n">
        <f aca="false">(C17-U17)/C17</f>
        <v>0</v>
      </c>
      <c r="X17" s="16" t="n">
        <v>30.345</v>
      </c>
      <c r="Y17" s="15" t="n">
        <v>7722.68</v>
      </c>
      <c r="Z17" s="14" t="str">
        <f aca="false">IF(ABS(Y17-C17)&lt;0.01,"Sí ✓","No")</f>
        <v>No</v>
      </c>
      <c r="AA17" s="17" t="n">
        <f aca="false">(C17-Y17)/C17</f>
        <v>0.000818992341839372</v>
      </c>
      <c r="AB17" s="16" t="n">
        <v>30.026</v>
      </c>
      <c r="AC17" s="41" t="n">
        <f aca="false">Y17-U17</f>
        <v>-6.32999999999993</v>
      </c>
      <c r="AD17" s="42" t="str">
        <f aca="false">IF(ABS(AC17)&lt;0.01,"Empate",IF(AC17&gt;0,"BT mejor","GRASP mejor"))</f>
        <v>GRASP mejor</v>
      </c>
      <c r="AE17" s="14" t="str">
        <f aca="false">IF(ABS(Y17-C17)&lt;0.01,"Sí ✓","No")</f>
        <v>No</v>
      </c>
    </row>
    <row r="18" customFormat="false" ht="15" hidden="false" customHeight="false" outlineLevel="0" collapsed="false">
      <c r="A18" s="10" t="s">
        <v>97</v>
      </c>
      <c r="B18" s="10" t="s">
        <v>52</v>
      </c>
      <c r="C18" s="11" t="n">
        <v>7718.59</v>
      </c>
      <c r="D18" s="10" t="n">
        <v>0.1</v>
      </c>
      <c r="E18" s="10" t="n">
        <v>0.9</v>
      </c>
      <c r="F18" s="10" t="n">
        <v>10</v>
      </c>
      <c r="G18" s="11" t="n">
        <v>7688.01</v>
      </c>
      <c r="H18" s="11" t="n">
        <v>7718.59</v>
      </c>
      <c r="I18" s="11" t="n">
        <v>7672.84</v>
      </c>
      <c r="J18" s="11" t="n">
        <v>17.801</v>
      </c>
      <c r="K18" s="12" t="n">
        <v>30.412</v>
      </c>
      <c r="L18" s="11" t="n">
        <v>7658.29</v>
      </c>
      <c r="M18" s="11" t="n">
        <v>7686.17</v>
      </c>
      <c r="N18" s="11" t="n">
        <v>7605.82</v>
      </c>
      <c r="O18" s="11" t="n">
        <v>33.1065</v>
      </c>
      <c r="P18" s="12" t="n">
        <v>30.025</v>
      </c>
      <c r="Q18" s="32" t="n">
        <f aca="false">L18-G18</f>
        <v>-29.7200000000003</v>
      </c>
      <c r="R18" s="33" t="n">
        <f aca="false">(L18-G18)/G18</f>
        <v>-0.00386575980000029</v>
      </c>
      <c r="S18" s="10" t="str">
        <f aca="false">IF(ABS(Q18)&lt;0.01,"Empate",IF(Q18&gt;0,"BT mejora","GRASP mejor"))</f>
        <v>GRASP mejor</v>
      </c>
      <c r="T18" s="10" t="str">
        <f aca="false">IF(ABS(H18-M18)&lt;0.01,"Empate",IF(M18&gt;H18,"BT mejor","GRASP mejor"))</f>
        <v>GRASP mejor</v>
      </c>
      <c r="U18" s="11" t="n">
        <v>7718.59</v>
      </c>
      <c r="V18" s="34" t="str">
        <f aca="false">IF(ABS(U18-C18)&lt;0.01,"Sí ✓","No")</f>
        <v>Sí ✓</v>
      </c>
      <c r="W18" s="13" t="n">
        <f aca="false">(C18-U18)/C18</f>
        <v>0</v>
      </c>
      <c r="X18" s="12" t="n">
        <v>30.412</v>
      </c>
      <c r="Y18" s="11" t="n">
        <v>7686.17</v>
      </c>
      <c r="Z18" s="10" t="str">
        <f aca="false">IF(ABS(Y18-C18)&lt;0.01,"Sí ✓","No")</f>
        <v>No</v>
      </c>
      <c r="AA18" s="13" t="n">
        <f aca="false">(C18-Y18)/C18</f>
        <v>0.00420024900921024</v>
      </c>
      <c r="AB18" s="12" t="n">
        <v>30.025</v>
      </c>
      <c r="AC18" s="41" t="n">
        <f aca="false">Y18-U18</f>
        <v>-32.4200000000001</v>
      </c>
      <c r="AD18" s="42" t="str">
        <f aca="false">IF(ABS(AC18)&lt;0.01,"Empate",IF(AC18&gt;0,"BT mejor","GRASP mejor"))</f>
        <v>GRASP mejor</v>
      </c>
      <c r="AE18" s="10" t="str">
        <f aca="false">IF(ABS(Y18-C18)&lt;0.01,"Sí ✓","No")</f>
        <v>No</v>
      </c>
    </row>
    <row r="20" customFormat="false" ht="15" hidden="false" customHeight="true" outlineLevel="0" collapsed="false">
      <c r="A20" s="18" t="s">
        <v>98</v>
      </c>
      <c r="B20" s="18"/>
      <c r="C20" s="18"/>
      <c r="D20" s="18"/>
      <c r="E20" s="18"/>
      <c r="F20" s="18"/>
      <c r="G20" s="43" t="n">
        <f aca="false">AVERAGE(G4:G18)</f>
        <v>4770.498</v>
      </c>
      <c r="H20" s="43" t="n">
        <f aca="false">MAX(H4:H18)</f>
        <v>7757.5</v>
      </c>
      <c r="I20" s="43" t="n">
        <f aca="false">MIN(I4:I18)</f>
        <v>349.31</v>
      </c>
      <c r="J20" s="43" t="n">
        <f aca="false">AVERAGE(J4:J18)</f>
        <v>12.3398666666667</v>
      </c>
      <c r="K20" s="44" t="n">
        <f aca="false">AVERAGE(K4:K18)</f>
        <v>30.1884</v>
      </c>
      <c r="L20" s="43" t="n">
        <f aca="false">AVERAGE(L4:L18)</f>
        <v>4755.424</v>
      </c>
      <c r="M20" s="43" t="n">
        <f aca="false">MAX(M4:M18)</f>
        <v>7785.3</v>
      </c>
      <c r="N20" s="43" t="n">
        <f aca="false">MIN(N4:N18)</f>
        <v>349.31</v>
      </c>
      <c r="O20" s="43" t="n">
        <f aca="false">AVERAGE(O4:O18)</f>
        <v>25.0136933333333</v>
      </c>
      <c r="P20" s="44" t="n">
        <f aca="false">AVERAGE(P4:P18)</f>
        <v>30.0156666666667</v>
      </c>
      <c r="Q20" s="45" t="n">
        <f aca="false">AVERAGE(Q4:Q18)</f>
        <v>-15.074</v>
      </c>
      <c r="R20" s="46" t="n">
        <f aca="false">AVERAGE(R4:R18)</f>
        <v>-0.00195465030436908</v>
      </c>
      <c r="U20" s="43" t="n">
        <f aca="false">MAX(U4:U18)</f>
        <v>7757.5</v>
      </c>
      <c r="V20" s="47" t="n">
        <f aca="false">COUNTIF(V4:V18,"Sí ✓")</f>
        <v>10</v>
      </c>
      <c r="Y20" s="43" t="n">
        <f aca="false">MAX(Y4:Y18)</f>
        <v>7785.3</v>
      </c>
      <c r="Z20" s="47" t="n">
        <f aca="false">COUNTIF(Z4:Z18,"Sí ✓")</f>
        <v>11</v>
      </c>
      <c r="AC20" s="45" t="n">
        <f aca="false">AVERAGE(AC4:AC18)</f>
        <v>1.09933333333326</v>
      </c>
      <c r="AE20" s="47" t="n">
        <f aca="false">COUNTIF(AE4:AE18,"Sí ✓")</f>
        <v>11</v>
      </c>
    </row>
  </sheetData>
  <mergeCells count="15">
    <mergeCell ref="A1:A3"/>
    <mergeCell ref="B1:B3"/>
    <mergeCell ref="C1:C3"/>
    <mergeCell ref="D1:D3"/>
    <mergeCell ref="E1:E3"/>
    <mergeCell ref="F1:F3"/>
    <mergeCell ref="G1:T1"/>
    <mergeCell ref="U1:AE1"/>
    <mergeCell ref="G2:K2"/>
    <mergeCell ref="L2:P2"/>
    <mergeCell ref="Q2:T2"/>
    <mergeCell ref="U2:X2"/>
    <mergeCell ref="Y2:AB2"/>
    <mergeCell ref="AC2:AE2"/>
    <mergeCell ref="A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7"/>
    <col collapsed="false" customWidth="true" hidden="false" outlineLevel="0" max="3" min="3" style="0" width="11"/>
    <col collapsed="false" customWidth="true" hidden="false" outlineLevel="0" max="4" min="4" style="0" width="5"/>
    <col collapsed="false" customWidth="true" hidden="false" outlineLevel="0" max="5" min="5" style="0" width="9"/>
    <col collapsed="false" customWidth="true" hidden="false" outlineLevel="0" max="6" min="6" style="0" width="7"/>
    <col collapsed="false" customWidth="true" hidden="false" outlineLevel="0" max="7" min="7" style="0" width="17"/>
    <col collapsed="false" customWidth="true" hidden="false" outlineLevel="0" max="8" min="8" style="0" width="37"/>
    <col collapsed="false" customWidth="true" hidden="false" outlineLevel="0" max="9" min="9" style="0" width="40"/>
  </cols>
  <sheetData>
    <row r="1" customFormat="false" ht="30" hidden="false" customHeight="true" outlineLevel="0" collapsed="false">
      <c r="A1" s="9" t="s">
        <v>37</v>
      </c>
      <c r="B1" s="9" t="s">
        <v>36</v>
      </c>
      <c r="C1" s="9" t="s">
        <v>99</v>
      </c>
      <c r="D1" s="9" t="s">
        <v>64</v>
      </c>
      <c r="E1" s="9" t="s">
        <v>65</v>
      </c>
      <c r="F1" s="9" t="s">
        <v>38</v>
      </c>
      <c r="G1" s="9" t="s">
        <v>69</v>
      </c>
      <c r="H1" s="9" t="s">
        <v>66</v>
      </c>
      <c r="I1" s="9" t="s">
        <v>67</v>
      </c>
    </row>
    <row r="2" customFormat="false" ht="15" hidden="false" customHeight="false" outlineLevel="0" collapsed="false">
      <c r="A2" s="10" t="s">
        <v>46</v>
      </c>
      <c r="B2" s="10" t="s">
        <v>45</v>
      </c>
      <c r="C2" s="10" t="s">
        <v>78</v>
      </c>
      <c r="D2" s="10" t="n">
        <v>0</v>
      </c>
      <c r="E2" s="10" t="n">
        <v>42</v>
      </c>
      <c r="F2" s="10" t="n">
        <v>0.1</v>
      </c>
      <c r="G2" s="10" t="s">
        <v>100</v>
      </c>
      <c r="H2" s="11" t="n">
        <v>360.15</v>
      </c>
      <c r="I2" s="12" t="n">
        <v>30</v>
      </c>
    </row>
    <row r="3" customFormat="false" ht="15" hidden="false" customHeight="false" outlineLevel="0" collapsed="false">
      <c r="A3" s="14" t="s">
        <v>46</v>
      </c>
      <c r="B3" s="14" t="s">
        <v>45</v>
      </c>
      <c r="C3" s="14" t="s">
        <v>78</v>
      </c>
      <c r="D3" s="14" t="n">
        <v>1</v>
      </c>
      <c r="E3" s="14" t="n">
        <v>43</v>
      </c>
      <c r="F3" s="14" t="n">
        <v>0.1</v>
      </c>
      <c r="G3" s="14" t="s">
        <v>100</v>
      </c>
      <c r="H3" s="15" t="n">
        <v>360.15</v>
      </c>
      <c r="I3" s="16" t="n">
        <v>30.002</v>
      </c>
    </row>
    <row r="4" customFormat="false" ht="15" hidden="false" customHeight="false" outlineLevel="0" collapsed="false">
      <c r="A4" s="10" t="s">
        <v>46</v>
      </c>
      <c r="B4" s="10" t="s">
        <v>45</v>
      </c>
      <c r="C4" s="10" t="s">
        <v>78</v>
      </c>
      <c r="D4" s="10" t="n">
        <v>2</v>
      </c>
      <c r="E4" s="10" t="n">
        <v>44</v>
      </c>
      <c r="F4" s="10" t="n">
        <v>0.1</v>
      </c>
      <c r="G4" s="10" t="s">
        <v>100</v>
      </c>
      <c r="H4" s="11" t="n">
        <v>360.15</v>
      </c>
      <c r="I4" s="12" t="n">
        <v>30.001</v>
      </c>
    </row>
    <row r="5" customFormat="false" ht="15" hidden="false" customHeight="false" outlineLevel="0" collapsed="false">
      <c r="A5" s="14" t="s">
        <v>46</v>
      </c>
      <c r="B5" s="14" t="s">
        <v>45</v>
      </c>
      <c r="C5" s="14" t="s">
        <v>78</v>
      </c>
      <c r="D5" s="14" t="n">
        <v>3</v>
      </c>
      <c r="E5" s="14" t="n">
        <v>45</v>
      </c>
      <c r="F5" s="14" t="n">
        <v>0.1</v>
      </c>
      <c r="G5" s="14" t="s">
        <v>100</v>
      </c>
      <c r="H5" s="15" t="n">
        <v>360.15</v>
      </c>
      <c r="I5" s="16" t="n">
        <v>30.001</v>
      </c>
    </row>
    <row r="6" customFormat="false" ht="15" hidden="false" customHeight="false" outlineLevel="0" collapsed="false">
      <c r="A6" s="10" t="s">
        <v>46</v>
      </c>
      <c r="B6" s="10" t="s">
        <v>45</v>
      </c>
      <c r="C6" s="10" t="s">
        <v>78</v>
      </c>
      <c r="D6" s="10" t="n">
        <v>4</v>
      </c>
      <c r="E6" s="10" t="n">
        <v>46</v>
      </c>
      <c r="F6" s="10" t="n">
        <v>0.1</v>
      </c>
      <c r="G6" s="10" t="s">
        <v>100</v>
      </c>
      <c r="H6" s="11" t="n">
        <v>360.15</v>
      </c>
      <c r="I6" s="12" t="n">
        <v>30</v>
      </c>
    </row>
    <row r="7" customFormat="false" ht="15" hidden="false" customHeight="false" outlineLevel="0" collapsed="false">
      <c r="A7" s="14" t="s">
        <v>46</v>
      </c>
      <c r="B7" s="14" t="s">
        <v>45</v>
      </c>
      <c r="C7" s="14" t="s">
        <v>101</v>
      </c>
      <c r="D7" s="14" t="n">
        <v>0</v>
      </c>
      <c r="E7" s="14" t="n">
        <v>42</v>
      </c>
      <c r="F7" s="14" t="n">
        <v>0.25</v>
      </c>
      <c r="G7" s="14" t="n">
        <v>15</v>
      </c>
      <c r="H7" s="15" t="n">
        <v>360.15</v>
      </c>
      <c r="I7" s="16" t="n">
        <v>30.001</v>
      </c>
    </row>
    <row r="8" customFormat="false" ht="15" hidden="false" customHeight="false" outlineLevel="0" collapsed="false">
      <c r="A8" s="10" t="s">
        <v>46</v>
      </c>
      <c r="B8" s="10" t="s">
        <v>45</v>
      </c>
      <c r="C8" s="10" t="s">
        <v>101</v>
      </c>
      <c r="D8" s="10" t="n">
        <v>1</v>
      </c>
      <c r="E8" s="10" t="n">
        <v>43</v>
      </c>
      <c r="F8" s="10" t="n">
        <v>0.25</v>
      </c>
      <c r="G8" s="10" t="n">
        <v>15</v>
      </c>
      <c r="H8" s="11" t="n">
        <v>360.15</v>
      </c>
      <c r="I8" s="12" t="n">
        <v>30</v>
      </c>
    </row>
    <row r="9" customFormat="false" ht="15" hidden="false" customHeight="false" outlineLevel="0" collapsed="false">
      <c r="A9" s="14" t="s">
        <v>46</v>
      </c>
      <c r="B9" s="14" t="s">
        <v>45</v>
      </c>
      <c r="C9" s="14" t="s">
        <v>101</v>
      </c>
      <c r="D9" s="14" t="n">
        <v>2</v>
      </c>
      <c r="E9" s="14" t="n">
        <v>44</v>
      </c>
      <c r="F9" s="14" t="n">
        <v>0.25</v>
      </c>
      <c r="G9" s="14" t="n">
        <v>15</v>
      </c>
      <c r="H9" s="15" t="n">
        <v>360.15</v>
      </c>
      <c r="I9" s="16" t="n">
        <v>30.001</v>
      </c>
    </row>
    <row r="10" customFormat="false" ht="15" hidden="false" customHeight="false" outlineLevel="0" collapsed="false">
      <c r="A10" s="10" t="s">
        <v>46</v>
      </c>
      <c r="B10" s="10" t="s">
        <v>45</v>
      </c>
      <c r="C10" s="10" t="s">
        <v>101</v>
      </c>
      <c r="D10" s="10" t="n">
        <v>3</v>
      </c>
      <c r="E10" s="10" t="n">
        <v>45</v>
      </c>
      <c r="F10" s="10" t="n">
        <v>0.25</v>
      </c>
      <c r="G10" s="10" t="n">
        <v>15</v>
      </c>
      <c r="H10" s="11" t="n">
        <v>360.15</v>
      </c>
      <c r="I10" s="12" t="n">
        <v>30</v>
      </c>
    </row>
    <row r="11" customFormat="false" ht="15" hidden="false" customHeight="false" outlineLevel="0" collapsed="false">
      <c r="A11" s="14" t="s">
        <v>46</v>
      </c>
      <c r="B11" s="14" t="s">
        <v>45</v>
      </c>
      <c r="C11" s="14" t="s">
        <v>101</v>
      </c>
      <c r="D11" s="14" t="n">
        <v>4</v>
      </c>
      <c r="E11" s="14" t="n">
        <v>46</v>
      </c>
      <c r="F11" s="14" t="n">
        <v>0.25</v>
      </c>
      <c r="G11" s="14" t="n">
        <v>15</v>
      </c>
      <c r="H11" s="15" t="n">
        <v>360.15</v>
      </c>
      <c r="I11" s="16" t="n">
        <v>30</v>
      </c>
    </row>
    <row r="12" customFormat="false" ht="15" hidden="false" customHeight="false" outlineLevel="0" collapsed="false">
      <c r="A12" s="10" t="s">
        <v>47</v>
      </c>
      <c r="B12" s="10" t="s">
        <v>45</v>
      </c>
      <c r="C12" s="10" t="s">
        <v>78</v>
      </c>
      <c r="D12" s="10" t="n">
        <v>0</v>
      </c>
      <c r="E12" s="10" t="n">
        <v>42</v>
      </c>
      <c r="F12" s="10" t="n">
        <v>0.1</v>
      </c>
      <c r="G12" s="10" t="s">
        <v>100</v>
      </c>
      <c r="H12" s="11" t="n">
        <v>355.72</v>
      </c>
      <c r="I12" s="12" t="n">
        <v>30.001</v>
      </c>
    </row>
    <row r="13" customFormat="false" ht="15" hidden="false" customHeight="false" outlineLevel="0" collapsed="false">
      <c r="A13" s="14" t="s">
        <v>47</v>
      </c>
      <c r="B13" s="14" t="s">
        <v>45</v>
      </c>
      <c r="C13" s="14" t="s">
        <v>78</v>
      </c>
      <c r="D13" s="14" t="n">
        <v>1</v>
      </c>
      <c r="E13" s="14" t="n">
        <v>43</v>
      </c>
      <c r="F13" s="14" t="n">
        <v>0.1</v>
      </c>
      <c r="G13" s="14" t="s">
        <v>100</v>
      </c>
      <c r="H13" s="15" t="n">
        <v>355.72</v>
      </c>
      <c r="I13" s="16" t="n">
        <v>30.001</v>
      </c>
    </row>
    <row r="14" customFormat="false" ht="15" hidden="false" customHeight="false" outlineLevel="0" collapsed="false">
      <c r="A14" s="10" t="s">
        <v>47</v>
      </c>
      <c r="B14" s="10" t="s">
        <v>45</v>
      </c>
      <c r="C14" s="10" t="s">
        <v>78</v>
      </c>
      <c r="D14" s="10" t="n">
        <v>2</v>
      </c>
      <c r="E14" s="10" t="n">
        <v>44</v>
      </c>
      <c r="F14" s="10" t="n">
        <v>0.1</v>
      </c>
      <c r="G14" s="10" t="s">
        <v>100</v>
      </c>
      <c r="H14" s="11" t="n">
        <v>355.72</v>
      </c>
      <c r="I14" s="12" t="n">
        <v>30.001</v>
      </c>
    </row>
    <row r="15" customFormat="false" ht="15" hidden="false" customHeight="false" outlineLevel="0" collapsed="false">
      <c r="A15" s="14" t="s">
        <v>47</v>
      </c>
      <c r="B15" s="14" t="s">
        <v>45</v>
      </c>
      <c r="C15" s="14" t="s">
        <v>78</v>
      </c>
      <c r="D15" s="14" t="n">
        <v>3</v>
      </c>
      <c r="E15" s="14" t="n">
        <v>45</v>
      </c>
      <c r="F15" s="14" t="n">
        <v>0.1</v>
      </c>
      <c r="G15" s="14" t="s">
        <v>100</v>
      </c>
      <c r="H15" s="15" t="n">
        <v>355.72</v>
      </c>
      <c r="I15" s="16" t="n">
        <v>30</v>
      </c>
    </row>
    <row r="16" customFormat="false" ht="15" hidden="false" customHeight="false" outlineLevel="0" collapsed="false">
      <c r="A16" s="10" t="s">
        <v>47</v>
      </c>
      <c r="B16" s="10" t="s">
        <v>45</v>
      </c>
      <c r="C16" s="10" t="s">
        <v>78</v>
      </c>
      <c r="D16" s="10" t="n">
        <v>4</v>
      </c>
      <c r="E16" s="10" t="n">
        <v>46</v>
      </c>
      <c r="F16" s="10" t="n">
        <v>0.1</v>
      </c>
      <c r="G16" s="10" t="s">
        <v>100</v>
      </c>
      <c r="H16" s="11" t="n">
        <v>355.72</v>
      </c>
      <c r="I16" s="12" t="n">
        <v>30.001</v>
      </c>
    </row>
    <row r="17" customFormat="false" ht="15" hidden="false" customHeight="false" outlineLevel="0" collapsed="false">
      <c r="A17" s="14" t="s">
        <v>47</v>
      </c>
      <c r="B17" s="14" t="s">
        <v>45</v>
      </c>
      <c r="C17" s="14" t="s">
        <v>101</v>
      </c>
      <c r="D17" s="14" t="n">
        <v>0</v>
      </c>
      <c r="E17" s="14" t="n">
        <v>42</v>
      </c>
      <c r="F17" s="14" t="n">
        <v>0.25</v>
      </c>
      <c r="G17" s="14" t="n">
        <v>15</v>
      </c>
      <c r="H17" s="15" t="n">
        <v>355.72</v>
      </c>
      <c r="I17" s="16" t="n">
        <v>30</v>
      </c>
    </row>
    <row r="18" customFormat="false" ht="15" hidden="false" customHeight="false" outlineLevel="0" collapsed="false">
      <c r="A18" s="10" t="s">
        <v>47</v>
      </c>
      <c r="B18" s="10" t="s">
        <v>45</v>
      </c>
      <c r="C18" s="10" t="s">
        <v>101</v>
      </c>
      <c r="D18" s="10" t="n">
        <v>1</v>
      </c>
      <c r="E18" s="10" t="n">
        <v>43</v>
      </c>
      <c r="F18" s="10" t="n">
        <v>0.25</v>
      </c>
      <c r="G18" s="10" t="n">
        <v>15</v>
      </c>
      <c r="H18" s="11" t="n">
        <v>355.72</v>
      </c>
      <c r="I18" s="12" t="n">
        <v>30</v>
      </c>
    </row>
    <row r="19" customFormat="false" ht="15" hidden="false" customHeight="false" outlineLevel="0" collapsed="false">
      <c r="A19" s="14" t="s">
        <v>47</v>
      </c>
      <c r="B19" s="14" t="s">
        <v>45</v>
      </c>
      <c r="C19" s="14" t="s">
        <v>101</v>
      </c>
      <c r="D19" s="14" t="n">
        <v>2</v>
      </c>
      <c r="E19" s="14" t="n">
        <v>44</v>
      </c>
      <c r="F19" s="14" t="n">
        <v>0.25</v>
      </c>
      <c r="G19" s="14" t="n">
        <v>15</v>
      </c>
      <c r="H19" s="15" t="n">
        <v>355.72</v>
      </c>
      <c r="I19" s="16" t="n">
        <v>30</v>
      </c>
    </row>
    <row r="20" customFormat="false" ht="15" hidden="false" customHeight="false" outlineLevel="0" collapsed="false">
      <c r="A20" s="10" t="s">
        <v>47</v>
      </c>
      <c r="B20" s="10" t="s">
        <v>45</v>
      </c>
      <c r="C20" s="10" t="s">
        <v>101</v>
      </c>
      <c r="D20" s="10" t="n">
        <v>3</v>
      </c>
      <c r="E20" s="10" t="n">
        <v>45</v>
      </c>
      <c r="F20" s="10" t="n">
        <v>0.25</v>
      </c>
      <c r="G20" s="10" t="n">
        <v>15</v>
      </c>
      <c r="H20" s="11" t="n">
        <v>355.72</v>
      </c>
      <c r="I20" s="12" t="n">
        <v>30</v>
      </c>
    </row>
    <row r="21" customFormat="false" ht="15" hidden="false" customHeight="false" outlineLevel="0" collapsed="false">
      <c r="A21" s="14" t="s">
        <v>47</v>
      </c>
      <c r="B21" s="14" t="s">
        <v>45</v>
      </c>
      <c r="C21" s="14" t="s">
        <v>101</v>
      </c>
      <c r="D21" s="14" t="n">
        <v>4</v>
      </c>
      <c r="E21" s="14" t="n">
        <v>46</v>
      </c>
      <c r="F21" s="14" t="n">
        <v>0.25</v>
      </c>
      <c r="G21" s="14" t="n">
        <v>15</v>
      </c>
      <c r="H21" s="15" t="n">
        <v>355.72</v>
      </c>
      <c r="I21" s="16" t="n">
        <v>30.001</v>
      </c>
    </row>
    <row r="22" customFormat="false" ht="15" hidden="false" customHeight="false" outlineLevel="0" collapsed="false">
      <c r="A22" s="10" t="s">
        <v>48</v>
      </c>
      <c r="B22" s="10" t="s">
        <v>45</v>
      </c>
      <c r="C22" s="10" t="s">
        <v>78</v>
      </c>
      <c r="D22" s="10" t="n">
        <v>0</v>
      </c>
      <c r="E22" s="10" t="n">
        <v>42</v>
      </c>
      <c r="F22" s="10" t="n">
        <v>0.1</v>
      </c>
      <c r="G22" s="10" t="s">
        <v>100</v>
      </c>
      <c r="H22" s="11" t="n">
        <v>355.5</v>
      </c>
      <c r="I22" s="12" t="n">
        <v>30</v>
      </c>
    </row>
    <row r="23" customFormat="false" ht="15" hidden="false" customHeight="false" outlineLevel="0" collapsed="false">
      <c r="A23" s="14" t="s">
        <v>48</v>
      </c>
      <c r="B23" s="14" t="s">
        <v>45</v>
      </c>
      <c r="C23" s="14" t="s">
        <v>78</v>
      </c>
      <c r="D23" s="14" t="n">
        <v>1</v>
      </c>
      <c r="E23" s="14" t="n">
        <v>43</v>
      </c>
      <c r="F23" s="14" t="n">
        <v>0.1</v>
      </c>
      <c r="G23" s="14" t="s">
        <v>100</v>
      </c>
      <c r="H23" s="15" t="n">
        <v>355.5</v>
      </c>
      <c r="I23" s="16" t="n">
        <v>30.001</v>
      </c>
    </row>
    <row r="24" customFormat="false" ht="15" hidden="false" customHeight="false" outlineLevel="0" collapsed="false">
      <c r="A24" s="10" t="s">
        <v>48</v>
      </c>
      <c r="B24" s="10" t="s">
        <v>45</v>
      </c>
      <c r="C24" s="10" t="s">
        <v>78</v>
      </c>
      <c r="D24" s="10" t="n">
        <v>2</v>
      </c>
      <c r="E24" s="10" t="n">
        <v>44</v>
      </c>
      <c r="F24" s="10" t="n">
        <v>0.1</v>
      </c>
      <c r="G24" s="10" t="s">
        <v>100</v>
      </c>
      <c r="H24" s="11" t="n">
        <v>355.5</v>
      </c>
      <c r="I24" s="12" t="n">
        <v>30.001</v>
      </c>
    </row>
    <row r="25" customFormat="false" ht="15" hidden="false" customHeight="false" outlineLevel="0" collapsed="false">
      <c r="A25" s="14" t="s">
        <v>48</v>
      </c>
      <c r="B25" s="14" t="s">
        <v>45</v>
      </c>
      <c r="C25" s="14" t="s">
        <v>78</v>
      </c>
      <c r="D25" s="14" t="n">
        <v>3</v>
      </c>
      <c r="E25" s="14" t="n">
        <v>45</v>
      </c>
      <c r="F25" s="14" t="n">
        <v>0.1</v>
      </c>
      <c r="G25" s="14" t="s">
        <v>100</v>
      </c>
      <c r="H25" s="15" t="n">
        <v>355.5</v>
      </c>
      <c r="I25" s="16" t="n">
        <v>30.002</v>
      </c>
    </row>
    <row r="26" customFormat="false" ht="15" hidden="false" customHeight="false" outlineLevel="0" collapsed="false">
      <c r="A26" s="10" t="s">
        <v>48</v>
      </c>
      <c r="B26" s="10" t="s">
        <v>45</v>
      </c>
      <c r="C26" s="10" t="s">
        <v>78</v>
      </c>
      <c r="D26" s="10" t="n">
        <v>4</v>
      </c>
      <c r="E26" s="10" t="n">
        <v>46</v>
      </c>
      <c r="F26" s="10" t="n">
        <v>0.1</v>
      </c>
      <c r="G26" s="10" t="s">
        <v>100</v>
      </c>
      <c r="H26" s="11" t="n">
        <v>355.5</v>
      </c>
      <c r="I26" s="12" t="n">
        <v>30.003</v>
      </c>
    </row>
    <row r="27" customFormat="false" ht="15" hidden="false" customHeight="false" outlineLevel="0" collapsed="false">
      <c r="A27" s="14" t="s">
        <v>48</v>
      </c>
      <c r="B27" s="14" t="s">
        <v>45</v>
      </c>
      <c r="C27" s="14" t="s">
        <v>101</v>
      </c>
      <c r="D27" s="14" t="n">
        <v>0</v>
      </c>
      <c r="E27" s="14" t="n">
        <v>42</v>
      </c>
      <c r="F27" s="14" t="n">
        <v>0.25</v>
      </c>
      <c r="G27" s="14" t="n">
        <v>15</v>
      </c>
      <c r="H27" s="15" t="n">
        <v>355.5</v>
      </c>
      <c r="I27" s="16" t="n">
        <v>30</v>
      </c>
    </row>
    <row r="28" customFormat="false" ht="15" hidden="false" customHeight="false" outlineLevel="0" collapsed="false">
      <c r="A28" s="10" t="s">
        <v>48</v>
      </c>
      <c r="B28" s="10" t="s">
        <v>45</v>
      </c>
      <c r="C28" s="10" t="s">
        <v>101</v>
      </c>
      <c r="D28" s="10" t="n">
        <v>1</v>
      </c>
      <c r="E28" s="10" t="n">
        <v>43</v>
      </c>
      <c r="F28" s="10" t="n">
        <v>0.25</v>
      </c>
      <c r="G28" s="10" t="n">
        <v>15</v>
      </c>
      <c r="H28" s="11" t="n">
        <v>355.5</v>
      </c>
      <c r="I28" s="12" t="n">
        <v>30</v>
      </c>
    </row>
    <row r="29" customFormat="false" ht="15" hidden="false" customHeight="false" outlineLevel="0" collapsed="false">
      <c r="A29" s="14" t="s">
        <v>48</v>
      </c>
      <c r="B29" s="14" t="s">
        <v>45</v>
      </c>
      <c r="C29" s="14" t="s">
        <v>101</v>
      </c>
      <c r="D29" s="14" t="n">
        <v>2</v>
      </c>
      <c r="E29" s="14" t="n">
        <v>44</v>
      </c>
      <c r="F29" s="14" t="n">
        <v>0.25</v>
      </c>
      <c r="G29" s="14" t="n">
        <v>15</v>
      </c>
      <c r="H29" s="15" t="n">
        <v>355.5</v>
      </c>
      <c r="I29" s="16" t="n">
        <v>30.001</v>
      </c>
    </row>
    <row r="30" customFormat="false" ht="15" hidden="false" customHeight="false" outlineLevel="0" collapsed="false">
      <c r="A30" s="10" t="s">
        <v>48</v>
      </c>
      <c r="B30" s="10" t="s">
        <v>45</v>
      </c>
      <c r="C30" s="10" t="s">
        <v>101</v>
      </c>
      <c r="D30" s="10" t="n">
        <v>3</v>
      </c>
      <c r="E30" s="10" t="n">
        <v>45</v>
      </c>
      <c r="F30" s="10" t="n">
        <v>0.25</v>
      </c>
      <c r="G30" s="10" t="n">
        <v>15</v>
      </c>
      <c r="H30" s="11" t="n">
        <v>355.5</v>
      </c>
      <c r="I30" s="12" t="n">
        <v>30.001</v>
      </c>
    </row>
    <row r="31" customFormat="false" ht="15" hidden="false" customHeight="false" outlineLevel="0" collapsed="false">
      <c r="A31" s="14" t="s">
        <v>48</v>
      </c>
      <c r="B31" s="14" t="s">
        <v>45</v>
      </c>
      <c r="C31" s="14" t="s">
        <v>101</v>
      </c>
      <c r="D31" s="14" t="n">
        <v>4</v>
      </c>
      <c r="E31" s="14" t="n">
        <v>46</v>
      </c>
      <c r="F31" s="14" t="n">
        <v>0.25</v>
      </c>
      <c r="G31" s="14" t="n">
        <v>15</v>
      </c>
      <c r="H31" s="15" t="n">
        <v>355.5</v>
      </c>
      <c r="I31" s="16" t="n">
        <v>30.001</v>
      </c>
    </row>
    <row r="32" customFormat="false" ht="15" hidden="false" customHeight="false" outlineLevel="0" collapsed="false">
      <c r="A32" s="10" t="s">
        <v>49</v>
      </c>
      <c r="B32" s="10" t="s">
        <v>45</v>
      </c>
      <c r="C32" s="10" t="s">
        <v>78</v>
      </c>
      <c r="D32" s="10" t="n">
        <v>0</v>
      </c>
      <c r="E32" s="10" t="n">
        <v>42</v>
      </c>
      <c r="F32" s="10" t="n">
        <v>0.1</v>
      </c>
      <c r="G32" s="10" t="s">
        <v>100</v>
      </c>
      <c r="H32" s="11" t="n">
        <v>354.25</v>
      </c>
      <c r="I32" s="12" t="n">
        <v>30</v>
      </c>
    </row>
    <row r="33" customFormat="false" ht="15" hidden="false" customHeight="false" outlineLevel="0" collapsed="false">
      <c r="A33" s="14" t="s">
        <v>49</v>
      </c>
      <c r="B33" s="14" t="s">
        <v>45</v>
      </c>
      <c r="C33" s="14" t="s">
        <v>78</v>
      </c>
      <c r="D33" s="14" t="n">
        <v>1</v>
      </c>
      <c r="E33" s="14" t="n">
        <v>43</v>
      </c>
      <c r="F33" s="14" t="n">
        <v>0.1</v>
      </c>
      <c r="G33" s="14" t="s">
        <v>100</v>
      </c>
      <c r="H33" s="15" t="n">
        <v>354.25</v>
      </c>
      <c r="I33" s="16" t="n">
        <v>30</v>
      </c>
    </row>
    <row r="34" customFormat="false" ht="15" hidden="false" customHeight="false" outlineLevel="0" collapsed="false">
      <c r="A34" s="10" t="s">
        <v>49</v>
      </c>
      <c r="B34" s="10" t="s">
        <v>45</v>
      </c>
      <c r="C34" s="10" t="s">
        <v>78</v>
      </c>
      <c r="D34" s="10" t="n">
        <v>2</v>
      </c>
      <c r="E34" s="10" t="n">
        <v>44</v>
      </c>
      <c r="F34" s="10" t="n">
        <v>0.1</v>
      </c>
      <c r="G34" s="10" t="s">
        <v>100</v>
      </c>
      <c r="H34" s="11" t="n">
        <v>354.25</v>
      </c>
      <c r="I34" s="12" t="n">
        <v>30.002</v>
      </c>
    </row>
    <row r="35" customFormat="false" ht="15" hidden="false" customHeight="false" outlineLevel="0" collapsed="false">
      <c r="A35" s="14" t="s">
        <v>49</v>
      </c>
      <c r="B35" s="14" t="s">
        <v>45</v>
      </c>
      <c r="C35" s="14" t="s">
        <v>78</v>
      </c>
      <c r="D35" s="14" t="n">
        <v>3</v>
      </c>
      <c r="E35" s="14" t="n">
        <v>45</v>
      </c>
      <c r="F35" s="14" t="n">
        <v>0.1</v>
      </c>
      <c r="G35" s="14" t="s">
        <v>100</v>
      </c>
      <c r="H35" s="15" t="n">
        <v>354.25</v>
      </c>
      <c r="I35" s="16" t="n">
        <v>30.001</v>
      </c>
    </row>
    <row r="36" customFormat="false" ht="15" hidden="false" customHeight="false" outlineLevel="0" collapsed="false">
      <c r="A36" s="10" t="s">
        <v>49</v>
      </c>
      <c r="B36" s="10" t="s">
        <v>45</v>
      </c>
      <c r="C36" s="10" t="s">
        <v>78</v>
      </c>
      <c r="D36" s="10" t="n">
        <v>4</v>
      </c>
      <c r="E36" s="10" t="n">
        <v>46</v>
      </c>
      <c r="F36" s="10" t="n">
        <v>0.1</v>
      </c>
      <c r="G36" s="10" t="s">
        <v>100</v>
      </c>
      <c r="H36" s="11" t="n">
        <v>354.25</v>
      </c>
      <c r="I36" s="12" t="n">
        <v>30.002</v>
      </c>
    </row>
    <row r="37" customFormat="false" ht="15" hidden="false" customHeight="false" outlineLevel="0" collapsed="false">
      <c r="A37" s="14" t="s">
        <v>49</v>
      </c>
      <c r="B37" s="14" t="s">
        <v>45</v>
      </c>
      <c r="C37" s="14" t="s">
        <v>101</v>
      </c>
      <c r="D37" s="14" t="n">
        <v>0</v>
      </c>
      <c r="E37" s="14" t="n">
        <v>42</v>
      </c>
      <c r="F37" s="14" t="n">
        <v>0.25</v>
      </c>
      <c r="G37" s="14" t="n">
        <v>15</v>
      </c>
      <c r="H37" s="15" t="n">
        <v>354.25</v>
      </c>
      <c r="I37" s="16" t="n">
        <v>30.001</v>
      </c>
    </row>
    <row r="38" customFormat="false" ht="15" hidden="false" customHeight="false" outlineLevel="0" collapsed="false">
      <c r="A38" s="10" t="s">
        <v>49</v>
      </c>
      <c r="B38" s="10" t="s">
        <v>45</v>
      </c>
      <c r="C38" s="10" t="s">
        <v>101</v>
      </c>
      <c r="D38" s="10" t="n">
        <v>1</v>
      </c>
      <c r="E38" s="10" t="n">
        <v>43</v>
      </c>
      <c r="F38" s="10" t="n">
        <v>0.25</v>
      </c>
      <c r="G38" s="10" t="n">
        <v>15</v>
      </c>
      <c r="H38" s="11" t="n">
        <v>354.25</v>
      </c>
      <c r="I38" s="12" t="n">
        <v>30</v>
      </c>
    </row>
    <row r="39" customFormat="false" ht="15" hidden="false" customHeight="false" outlineLevel="0" collapsed="false">
      <c r="A39" s="14" t="s">
        <v>49</v>
      </c>
      <c r="B39" s="14" t="s">
        <v>45</v>
      </c>
      <c r="C39" s="14" t="s">
        <v>101</v>
      </c>
      <c r="D39" s="14" t="n">
        <v>2</v>
      </c>
      <c r="E39" s="14" t="n">
        <v>44</v>
      </c>
      <c r="F39" s="14" t="n">
        <v>0.25</v>
      </c>
      <c r="G39" s="14" t="n">
        <v>15</v>
      </c>
      <c r="H39" s="15" t="n">
        <v>354.25</v>
      </c>
      <c r="I39" s="16" t="n">
        <v>30</v>
      </c>
    </row>
    <row r="40" customFormat="false" ht="15" hidden="false" customHeight="false" outlineLevel="0" collapsed="false">
      <c r="A40" s="10" t="s">
        <v>49</v>
      </c>
      <c r="B40" s="10" t="s">
        <v>45</v>
      </c>
      <c r="C40" s="10" t="s">
        <v>101</v>
      </c>
      <c r="D40" s="10" t="n">
        <v>3</v>
      </c>
      <c r="E40" s="10" t="n">
        <v>45</v>
      </c>
      <c r="F40" s="10" t="n">
        <v>0.25</v>
      </c>
      <c r="G40" s="10" t="n">
        <v>15</v>
      </c>
      <c r="H40" s="11" t="n">
        <v>354.25</v>
      </c>
      <c r="I40" s="12" t="n">
        <v>30</v>
      </c>
    </row>
    <row r="41" customFormat="false" ht="15" hidden="false" customHeight="false" outlineLevel="0" collapsed="false">
      <c r="A41" s="14" t="s">
        <v>49</v>
      </c>
      <c r="B41" s="14" t="s">
        <v>45</v>
      </c>
      <c r="C41" s="14" t="s">
        <v>101</v>
      </c>
      <c r="D41" s="14" t="n">
        <v>4</v>
      </c>
      <c r="E41" s="14" t="n">
        <v>46</v>
      </c>
      <c r="F41" s="14" t="n">
        <v>0.25</v>
      </c>
      <c r="G41" s="14" t="n">
        <v>15</v>
      </c>
      <c r="H41" s="15" t="n">
        <v>354.25</v>
      </c>
      <c r="I41" s="16" t="n">
        <v>30</v>
      </c>
    </row>
    <row r="42" customFormat="false" ht="15" hidden="false" customHeight="false" outlineLevel="0" collapsed="false">
      <c r="A42" s="10" t="s">
        <v>50</v>
      </c>
      <c r="B42" s="10" t="s">
        <v>45</v>
      </c>
      <c r="C42" s="10" t="s">
        <v>78</v>
      </c>
      <c r="D42" s="10" t="n">
        <v>0</v>
      </c>
      <c r="E42" s="10" t="n">
        <v>42</v>
      </c>
      <c r="F42" s="10" t="n">
        <v>0.1</v>
      </c>
      <c r="G42" s="10" t="s">
        <v>100</v>
      </c>
      <c r="H42" s="11" t="n">
        <v>356.06</v>
      </c>
      <c r="I42" s="12" t="n">
        <v>30</v>
      </c>
    </row>
    <row r="43" customFormat="false" ht="15" hidden="false" customHeight="false" outlineLevel="0" collapsed="false">
      <c r="A43" s="14" t="s">
        <v>50</v>
      </c>
      <c r="B43" s="14" t="s">
        <v>45</v>
      </c>
      <c r="C43" s="14" t="s">
        <v>78</v>
      </c>
      <c r="D43" s="14" t="n">
        <v>1</v>
      </c>
      <c r="E43" s="14" t="n">
        <v>43</v>
      </c>
      <c r="F43" s="14" t="n">
        <v>0.1</v>
      </c>
      <c r="G43" s="14" t="s">
        <v>100</v>
      </c>
      <c r="H43" s="15" t="n">
        <v>356.06</v>
      </c>
      <c r="I43" s="16" t="n">
        <v>30</v>
      </c>
    </row>
    <row r="44" customFormat="false" ht="15" hidden="false" customHeight="false" outlineLevel="0" collapsed="false">
      <c r="A44" s="10" t="s">
        <v>50</v>
      </c>
      <c r="B44" s="10" t="s">
        <v>45</v>
      </c>
      <c r="C44" s="10" t="s">
        <v>78</v>
      </c>
      <c r="D44" s="10" t="n">
        <v>2</v>
      </c>
      <c r="E44" s="10" t="n">
        <v>44</v>
      </c>
      <c r="F44" s="10" t="n">
        <v>0.1</v>
      </c>
      <c r="G44" s="10" t="s">
        <v>100</v>
      </c>
      <c r="H44" s="11" t="n">
        <v>356.06</v>
      </c>
      <c r="I44" s="12" t="n">
        <v>30.001</v>
      </c>
    </row>
    <row r="45" customFormat="false" ht="15" hidden="false" customHeight="false" outlineLevel="0" collapsed="false">
      <c r="A45" s="14" t="s">
        <v>50</v>
      </c>
      <c r="B45" s="14" t="s">
        <v>45</v>
      </c>
      <c r="C45" s="14" t="s">
        <v>78</v>
      </c>
      <c r="D45" s="14" t="n">
        <v>3</v>
      </c>
      <c r="E45" s="14" t="n">
        <v>45</v>
      </c>
      <c r="F45" s="14" t="n">
        <v>0.1</v>
      </c>
      <c r="G45" s="14" t="s">
        <v>100</v>
      </c>
      <c r="H45" s="15" t="n">
        <v>356.06</v>
      </c>
      <c r="I45" s="16" t="n">
        <v>30.001</v>
      </c>
    </row>
    <row r="46" customFormat="false" ht="15" hidden="false" customHeight="false" outlineLevel="0" collapsed="false">
      <c r="A46" s="10" t="s">
        <v>50</v>
      </c>
      <c r="B46" s="10" t="s">
        <v>45</v>
      </c>
      <c r="C46" s="10" t="s">
        <v>78</v>
      </c>
      <c r="D46" s="10" t="n">
        <v>4</v>
      </c>
      <c r="E46" s="10" t="n">
        <v>46</v>
      </c>
      <c r="F46" s="10" t="n">
        <v>0.1</v>
      </c>
      <c r="G46" s="10" t="s">
        <v>100</v>
      </c>
      <c r="H46" s="11" t="n">
        <v>356.06</v>
      </c>
      <c r="I46" s="12" t="n">
        <v>30.001</v>
      </c>
    </row>
    <row r="47" customFormat="false" ht="15" hidden="false" customHeight="false" outlineLevel="0" collapsed="false">
      <c r="A47" s="14" t="s">
        <v>50</v>
      </c>
      <c r="B47" s="14" t="s">
        <v>45</v>
      </c>
      <c r="C47" s="14" t="s">
        <v>101</v>
      </c>
      <c r="D47" s="14" t="n">
        <v>0</v>
      </c>
      <c r="E47" s="14" t="n">
        <v>42</v>
      </c>
      <c r="F47" s="14" t="n">
        <v>0.25</v>
      </c>
      <c r="G47" s="14" t="n">
        <v>15</v>
      </c>
      <c r="H47" s="15" t="n">
        <v>356.06</v>
      </c>
      <c r="I47" s="16" t="n">
        <v>30.001</v>
      </c>
    </row>
    <row r="48" customFormat="false" ht="15" hidden="false" customHeight="false" outlineLevel="0" collapsed="false">
      <c r="A48" s="10" t="s">
        <v>50</v>
      </c>
      <c r="B48" s="10" t="s">
        <v>45</v>
      </c>
      <c r="C48" s="10" t="s">
        <v>101</v>
      </c>
      <c r="D48" s="10" t="n">
        <v>1</v>
      </c>
      <c r="E48" s="10" t="n">
        <v>43</v>
      </c>
      <c r="F48" s="10" t="n">
        <v>0.25</v>
      </c>
      <c r="G48" s="10" t="n">
        <v>15</v>
      </c>
      <c r="H48" s="11" t="n">
        <v>356.06</v>
      </c>
      <c r="I48" s="12" t="n">
        <v>30</v>
      </c>
    </row>
    <row r="49" customFormat="false" ht="15" hidden="false" customHeight="false" outlineLevel="0" collapsed="false">
      <c r="A49" s="14" t="s">
        <v>50</v>
      </c>
      <c r="B49" s="14" t="s">
        <v>45</v>
      </c>
      <c r="C49" s="14" t="s">
        <v>101</v>
      </c>
      <c r="D49" s="14" t="n">
        <v>2</v>
      </c>
      <c r="E49" s="14" t="n">
        <v>44</v>
      </c>
      <c r="F49" s="14" t="n">
        <v>0.25</v>
      </c>
      <c r="G49" s="14" t="n">
        <v>15</v>
      </c>
      <c r="H49" s="15" t="n">
        <v>356.06</v>
      </c>
      <c r="I49" s="16" t="n">
        <v>30</v>
      </c>
    </row>
    <row r="50" customFormat="false" ht="15" hidden="false" customHeight="false" outlineLevel="0" collapsed="false">
      <c r="A50" s="10" t="s">
        <v>50</v>
      </c>
      <c r="B50" s="10" t="s">
        <v>45</v>
      </c>
      <c r="C50" s="10" t="s">
        <v>101</v>
      </c>
      <c r="D50" s="10" t="n">
        <v>3</v>
      </c>
      <c r="E50" s="10" t="n">
        <v>45</v>
      </c>
      <c r="F50" s="10" t="n">
        <v>0.25</v>
      </c>
      <c r="G50" s="10" t="n">
        <v>15</v>
      </c>
      <c r="H50" s="11" t="n">
        <v>356.06</v>
      </c>
      <c r="I50" s="12" t="n">
        <v>30.001</v>
      </c>
    </row>
    <row r="51" customFormat="false" ht="15" hidden="false" customHeight="false" outlineLevel="0" collapsed="false">
      <c r="A51" s="14" t="s">
        <v>50</v>
      </c>
      <c r="B51" s="14" t="s">
        <v>45</v>
      </c>
      <c r="C51" s="14" t="s">
        <v>101</v>
      </c>
      <c r="D51" s="14" t="n">
        <v>4</v>
      </c>
      <c r="E51" s="14" t="n">
        <v>46</v>
      </c>
      <c r="F51" s="14" t="n">
        <v>0.25</v>
      </c>
      <c r="G51" s="14" t="n">
        <v>15</v>
      </c>
      <c r="H51" s="15" t="n">
        <v>356.06</v>
      </c>
      <c r="I51" s="16" t="n">
        <v>30.001</v>
      </c>
    </row>
    <row r="52" customFormat="false" ht="15" hidden="false" customHeight="false" outlineLevel="0" collapsed="false">
      <c r="A52" s="10" t="s">
        <v>93</v>
      </c>
      <c r="B52" s="10" t="s">
        <v>45</v>
      </c>
      <c r="C52" s="10" t="s">
        <v>78</v>
      </c>
      <c r="D52" s="10" t="n">
        <v>0</v>
      </c>
      <c r="E52" s="10" t="n">
        <v>42</v>
      </c>
      <c r="F52" s="10" t="n">
        <v>0.1</v>
      </c>
      <c r="G52" s="10" t="s">
        <v>100</v>
      </c>
      <c r="H52" s="11" t="n">
        <v>349.31</v>
      </c>
      <c r="I52" s="12" t="n">
        <v>30.001</v>
      </c>
    </row>
    <row r="53" customFormat="false" ht="15" hidden="false" customHeight="false" outlineLevel="0" collapsed="false">
      <c r="A53" s="14" t="s">
        <v>93</v>
      </c>
      <c r="B53" s="14" t="s">
        <v>45</v>
      </c>
      <c r="C53" s="14" t="s">
        <v>78</v>
      </c>
      <c r="D53" s="14" t="n">
        <v>1</v>
      </c>
      <c r="E53" s="14" t="n">
        <v>43</v>
      </c>
      <c r="F53" s="14" t="n">
        <v>0.1</v>
      </c>
      <c r="G53" s="14" t="s">
        <v>100</v>
      </c>
      <c r="H53" s="15" t="n">
        <v>349.31</v>
      </c>
      <c r="I53" s="16" t="n">
        <v>30.002</v>
      </c>
    </row>
    <row r="54" customFormat="false" ht="15" hidden="false" customHeight="false" outlineLevel="0" collapsed="false">
      <c r="A54" s="10" t="s">
        <v>93</v>
      </c>
      <c r="B54" s="10" t="s">
        <v>45</v>
      </c>
      <c r="C54" s="10" t="s">
        <v>78</v>
      </c>
      <c r="D54" s="10" t="n">
        <v>2</v>
      </c>
      <c r="E54" s="10" t="n">
        <v>44</v>
      </c>
      <c r="F54" s="10" t="n">
        <v>0.1</v>
      </c>
      <c r="G54" s="10" t="s">
        <v>100</v>
      </c>
      <c r="H54" s="11" t="n">
        <v>349.31</v>
      </c>
      <c r="I54" s="12" t="n">
        <v>30.001</v>
      </c>
    </row>
    <row r="55" customFormat="false" ht="15" hidden="false" customHeight="false" outlineLevel="0" collapsed="false">
      <c r="A55" s="14" t="s">
        <v>93</v>
      </c>
      <c r="B55" s="14" t="s">
        <v>45</v>
      </c>
      <c r="C55" s="14" t="s">
        <v>78</v>
      </c>
      <c r="D55" s="14" t="n">
        <v>3</v>
      </c>
      <c r="E55" s="14" t="n">
        <v>45</v>
      </c>
      <c r="F55" s="14" t="n">
        <v>0.1</v>
      </c>
      <c r="G55" s="14" t="s">
        <v>100</v>
      </c>
      <c r="H55" s="15" t="n">
        <v>349.31</v>
      </c>
      <c r="I55" s="16" t="n">
        <v>30.001</v>
      </c>
    </row>
    <row r="56" customFormat="false" ht="15" hidden="false" customHeight="false" outlineLevel="0" collapsed="false">
      <c r="A56" s="10" t="s">
        <v>93</v>
      </c>
      <c r="B56" s="10" t="s">
        <v>45</v>
      </c>
      <c r="C56" s="10" t="s">
        <v>78</v>
      </c>
      <c r="D56" s="10" t="n">
        <v>4</v>
      </c>
      <c r="E56" s="10" t="n">
        <v>46</v>
      </c>
      <c r="F56" s="10" t="n">
        <v>0.1</v>
      </c>
      <c r="G56" s="10" t="s">
        <v>100</v>
      </c>
      <c r="H56" s="11" t="n">
        <v>349.31</v>
      </c>
      <c r="I56" s="12" t="n">
        <v>30.002</v>
      </c>
    </row>
    <row r="57" customFormat="false" ht="15" hidden="false" customHeight="false" outlineLevel="0" collapsed="false">
      <c r="A57" s="14" t="s">
        <v>93</v>
      </c>
      <c r="B57" s="14" t="s">
        <v>45</v>
      </c>
      <c r="C57" s="14" t="s">
        <v>101</v>
      </c>
      <c r="D57" s="14" t="n">
        <v>0</v>
      </c>
      <c r="E57" s="14" t="n">
        <v>42</v>
      </c>
      <c r="F57" s="14" t="n">
        <v>0.25</v>
      </c>
      <c r="G57" s="14" t="n">
        <v>15</v>
      </c>
      <c r="H57" s="15" t="n">
        <v>349.31</v>
      </c>
      <c r="I57" s="16" t="n">
        <v>30.001</v>
      </c>
    </row>
    <row r="58" customFormat="false" ht="15" hidden="false" customHeight="false" outlineLevel="0" collapsed="false">
      <c r="A58" s="10" t="s">
        <v>93</v>
      </c>
      <c r="B58" s="10" t="s">
        <v>45</v>
      </c>
      <c r="C58" s="10" t="s">
        <v>101</v>
      </c>
      <c r="D58" s="10" t="n">
        <v>1</v>
      </c>
      <c r="E58" s="10" t="n">
        <v>43</v>
      </c>
      <c r="F58" s="10" t="n">
        <v>0.25</v>
      </c>
      <c r="G58" s="10" t="n">
        <v>15</v>
      </c>
      <c r="H58" s="11" t="n">
        <v>349.31</v>
      </c>
      <c r="I58" s="12" t="n">
        <v>30.001</v>
      </c>
    </row>
    <row r="59" customFormat="false" ht="15" hidden="false" customHeight="false" outlineLevel="0" collapsed="false">
      <c r="A59" s="14" t="s">
        <v>93</v>
      </c>
      <c r="B59" s="14" t="s">
        <v>45</v>
      </c>
      <c r="C59" s="14" t="s">
        <v>101</v>
      </c>
      <c r="D59" s="14" t="n">
        <v>2</v>
      </c>
      <c r="E59" s="14" t="n">
        <v>44</v>
      </c>
      <c r="F59" s="14" t="n">
        <v>0.25</v>
      </c>
      <c r="G59" s="14" t="n">
        <v>15</v>
      </c>
      <c r="H59" s="15" t="n">
        <v>349.31</v>
      </c>
      <c r="I59" s="16" t="n">
        <v>30.001</v>
      </c>
    </row>
    <row r="60" customFormat="false" ht="15" hidden="false" customHeight="false" outlineLevel="0" collapsed="false">
      <c r="A60" s="10" t="s">
        <v>93</v>
      </c>
      <c r="B60" s="10" t="s">
        <v>45</v>
      </c>
      <c r="C60" s="10" t="s">
        <v>101</v>
      </c>
      <c r="D60" s="10" t="n">
        <v>3</v>
      </c>
      <c r="E60" s="10" t="n">
        <v>45</v>
      </c>
      <c r="F60" s="10" t="n">
        <v>0.25</v>
      </c>
      <c r="G60" s="10" t="n">
        <v>15</v>
      </c>
      <c r="H60" s="11" t="n">
        <v>349.31</v>
      </c>
      <c r="I60" s="12" t="n">
        <v>30.001</v>
      </c>
    </row>
    <row r="61" customFormat="false" ht="15" hidden="false" customHeight="false" outlineLevel="0" collapsed="false">
      <c r="A61" s="14" t="s">
        <v>93</v>
      </c>
      <c r="B61" s="14" t="s">
        <v>45</v>
      </c>
      <c r="C61" s="14" t="s">
        <v>101</v>
      </c>
      <c r="D61" s="14" t="n">
        <v>4</v>
      </c>
      <c r="E61" s="14" t="n">
        <v>46</v>
      </c>
      <c r="F61" s="14" t="n">
        <v>0.25</v>
      </c>
      <c r="G61" s="14" t="n">
        <v>15</v>
      </c>
      <c r="H61" s="15" t="n">
        <v>349.31</v>
      </c>
      <c r="I61" s="16" t="n">
        <v>30</v>
      </c>
    </row>
    <row r="62" customFormat="false" ht="15" hidden="false" customHeight="false" outlineLevel="0" collapsed="false">
      <c r="A62" s="10" t="s">
        <v>53</v>
      </c>
      <c r="B62" s="10" t="s">
        <v>52</v>
      </c>
      <c r="C62" s="10" t="s">
        <v>78</v>
      </c>
      <c r="D62" s="10" t="n">
        <v>0</v>
      </c>
      <c r="E62" s="10" t="n">
        <v>42</v>
      </c>
      <c r="F62" s="10" t="n">
        <v>0.1</v>
      </c>
      <c r="G62" s="10" t="s">
        <v>100</v>
      </c>
      <c r="H62" s="11" t="n">
        <v>7722.22</v>
      </c>
      <c r="I62" s="12" t="n">
        <v>30.335</v>
      </c>
    </row>
    <row r="63" customFormat="false" ht="15" hidden="false" customHeight="false" outlineLevel="0" collapsed="false">
      <c r="A63" s="14" t="s">
        <v>53</v>
      </c>
      <c r="B63" s="14" t="s">
        <v>52</v>
      </c>
      <c r="C63" s="14" t="s">
        <v>78</v>
      </c>
      <c r="D63" s="14" t="n">
        <v>1</v>
      </c>
      <c r="E63" s="14" t="n">
        <v>43</v>
      </c>
      <c r="F63" s="14" t="n">
        <v>0.1</v>
      </c>
      <c r="G63" s="14" t="s">
        <v>100</v>
      </c>
      <c r="H63" s="15" t="n">
        <v>7699.24</v>
      </c>
      <c r="I63" s="16" t="n">
        <v>30.104</v>
      </c>
    </row>
    <row r="64" customFormat="false" ht="15" hidden="false" customHeight="false" outlineLevel="0" collapsed="false">
      <c r="A64" s="10" t="s">
        <v>53</v>
      </c>
      <c r="B64" s="10" t="s">
        <v>52</v>
      </c>
      <c r="C64" s="10" t="s">
        <v>78</v>
      </c>
      <c r="D64" s="10" t="n">
        <v>2</v>
      </c>
      <c r="E64" s="10" t="n">
        <v>44</v>
      </c>
      <c r="F64" s="10" t="n">
        <v>0.1</v>
      </c>
      <c r="G64" s="10" t="s">
        <v>100</v>
      </c>
      <c r="H64" s="11" t="n">
        <v>7711.08</v>
      </c>
      <c r="I64" s="12" t="n">
        <v>30.609</v>
      </c>
    </row>
    <row r="65" customFormat="false" ht="15" hidden="false" customHeight="false" outlineLevel="0" collapsed="false">
      <c r="A65" s="14" t="s">
        <v>53</v>
      </c>
      <c r="B65" s="14" t="s">
        <v>52</v>
      </c>
      <c r="C65" s="14" t="s">
        <v>78</v>
      </c>
      <c r="D65" s="14" t="n">
        <v>3</v>
      </c>
      <c r="E65" s="14" t="n">
        <v>45</v>
      </c>
      <c r="F65" s="14" t="n">
        <v>0.1</v>
      </c>
      <c r="G65" s="14" t="s">
        <v>100</v>
      </c>
      <c r="H65" s="15" t="n">
        <v>7668.9</v>
      </c>
      <c r="I65" s="16" t="n">
        <v>30.004</v>
      </c>
    </row>
    <row r="66" customFormat="false" ht="15" hidden="false" customHeight="false" outlineLevel="0" collapsed="false">
      <c r="A66" s="10" t="s">
        <v>53</v>
      </c>
      <c r="B66" s="10" t="s">
        <v>52</v>
      </c>
      <c r="C66" s="10" t="s">
        <v>78</v>
      </c>
      <c r="D66" s="10" t="n">
        <v>4</v>
      </c>
      <c r="E66" s="10" t="n">
        <v>46</v>
      </c>
      <c r="F66" s="10" t="n">
        <v>0.1</v>
      </c>
      <c r="G66" s="10" t="s">
        <v>100</v>
      </c>
      <c r="H66" s="11" t="n">
        <v>7676.06</v>
      </c>
      <c r="I66" s="12" t="n">
        <v>30.009</v>
      </c>
    </row>
    <row r="67" customFormat="false" ht="15" hidden="false" customHeight="false" outlineLevel="0" collapsed="false">
      <c r="A67" s="14" t="s">
        <v>53</v>
      </c>
      <c r="B67" s="14" t="s">
        <v>52</v>
      </c>
      <c r="C67" s="14" t="s">
        <v>101</v>
      </c>
      <c r="D67" s="14" t="n">
        <v>0</v>
      </c>
      <c r="E67" s="14" t="n">
        <v>42</v>
      </c>
      <c r="F67" s="14" t="n">
        <v>0.9</v>
      </c>
      <c r="G67" s="14" t="n">
        <v>10</v>
      </c>
      <c r="H67" s="15" t="n">
        <v>7673.74</v>
      </c>
      <c r="I67" s="16" t="n">
        <v>30.036</v>
      </c>
    </row>
    <row r="68" customFormat="false" ht="15" hidden="false" customHeight="false" outlineLevel="0" collapsed="false">
      <c r="A68" s="10" t="s">
        <v>53</v>
      </c>
      <c r="B68" s="10" t="s">
        <v>52</v>
      </c>
      <c r="C68" s="10" t="s">
        <v>101</v>
      </c>
      <c r="D68" s="10" t="n">
        <v>1</v>
      </c>
      <c r="E68" s="10" t="n">
        <v>43</v>
      </c>
      <c r="F68" s="10" t="n">
        <v>0.9</v>
      </c>
      <c r="G68" s="10" t="n">
        <v>10</v>
      </c>
      <c r="H68" s="11" t="n">
        <v>7756.24</v>
      </c>
      <c r="I68" s="12" t="n">
        <v>30.016</v>
      </c>
    </row>
    <row r="69" customFormat="false" ht="15" hidden="false" customHeight="false" outlineLevel="0" collapsed="false">
      <c r="A69" s="14" t="s">
        <v>53</v>
      </c>
      <c r="B69" s="14" t="s">
        <v>52</v>
      </c>
      <c r="C69" s="14" t="s">
        <v>101</v>
      </c>
      <c r="D69" s="14" t="n">
        <v>2</v>
      </c>
      <c r="E69" s="14" t="n">
        <v>44</v>
      </c>
      <c r="F69" s="14" t="n">
        <v>0.9</v>
      </c>
      <c r="G69" s="14" t="n">
        <v>10</v>
      </c>
      <c r="H69" s="15" t="n">
        <v>7688.36</v>
      </c>
      <c r="I69" s="16" t="n">
        <v>30.046</v>
      </c>
    </row>
    <row r="70" customFormat="false" ht="15" hidden="false" customHeight="false" outlineLevel="0" collapsed="false">
      <c r="A70" s="10" t="s">
        <v>53</v>
      </c>
      <c r="B70" s="10" t="s">
        <v>52</v>
      </c>
      <c r="C70" s="10" t="s">
        <v>101</v>
      </c>
      <c r="D70" s="10" t="n">
        <v>3</v>
      </c>
      <c r="E70" s="10" t="n">
        <v>45</v>
      </c>
      <c r="F70" s="10" t="n">
        <v>0.9</v>
      </c>
      <c r="G70" s="10" t="n">
        <v>10</v>
      </c>
      <c r="H70" s="11" t="n">
        <v>7648.87</v>
      </c>
      <c r="I70" s="12" t="n">
        <v>30.012</v>
      </c>
    </row>
    <row r="71" customFormat="false" ht="15" hidden="false" customHeight="false" outlineLevel="0" collapsed="false">
      <c r="A71" s="14" t="s">
        <v>53</v>
      </c>
      <c r="B71" s="14" t="s">
        <v>52</v>
      </c>
      <c r="C71" s="14" t="s">
        <v>101</v>
      </c>
      <c r="D71" s="14" t="n">
        <v>4</v>
      </c>
      <c r="E71" s="14" t="n">
        <v>46</v>
      </c>
      <c r="F71" s="14" t="n">
        <v>0.9</v>
      </c>
      <c r="G71" s="14" t="n">
        <v>10</v>
      </c>
      <c r="H71" s="15" t="n">
        <v>7704.88</v>
      </c>
      <c r="I71" s="16" t="n">
        <v>30.039</v>
      </c>
    </row>
    <row r="72" customFormat="false" ht="15" hidden="false" customHeight="false" outlineLevel="0" collapsed="false">
      <c r="A72" s="10" t="s">
        <v>54</v>
      </c>
      <c r="B72" s="10" t="s">
        <v>52</v>
      </c>
      <c r="C72" s="10" t="s">
        <v>78</v>
      </c>
      <c r="D72" s="10" t="n">
        <v>0</v>
      </c>
      <c r="E72" s="10" t="n">
        <v>42</v>
      </c>
      <c r="F72" s="10" t="n">
        <v>0.1</v>
      </c>
      <c r="G72" s="10" t="s">
        <v>100</v>
      </c>
      <c r="H72" s="11" t="n">
        <v>7678.98</v>
      </c>
      <c r="I72" s="12" t="n">
        <v>30.828</v>
      </c>
    </row>
    <row r="73" customFormat="false" ht="15" hidden="false" customHeight="false" outlineLevel="0" collapsed="false">
      <c r="A73" s="14" t="s">
        <v>54</v>
      </c>
      <c r="B73" s="14" t="s">
        <v>52</v>
      </c>
      <c r="C73" s="14" t="s">
        <v>78</v>
      </c>
      <c r="D73" s="14" t="n">
        <v>1</v>
      </c>
      <c r="E73" s="14" t="n">
        <v>43</v>
      </c>
      <c r="F73" s="14" t="n">
        <v>0.1</v>
      </c>
      <c r="G73" s="14" t="s">
        <v>100</v>
      </c>
      <c r="H73" s="15" t="n">
        <v>7699.37</v>
      </c>
      <c r="I73" s="16" t="n">
        <v>30.008</v>
      </c>
    </row>
    <row r="74" customFormat="false" ht="15" hidden="false" customHeight="false" outlineLevel="0" collapsed="false">
      <c r="A74" s="10" t="s">
        <v>54</v>
      </c>
      <c r="B74" s="10" t="s">
        <v>52</v>
      </c>
      <c r="C74" s="10" t="s">
        <v>78</v>
      </c>
      <c r="D74" s="10" t="n">
        <v>2</v>
      </c>
      <c r="E74" s="10" t="n">
        <v>44</v>
      </c>
      <c r="F74" s="10" t="n">
        <v>0.1</v>
      </c>
      <c r="G74" s="10" t="s">
        <v>100</v>
      </c>
      <c r="H74" s="11" t="n">
        <v>7671.91</v>
      </c>
      <c r="I74" s="12" t="n">
        <v>30.813</v>
      </c>
    </row>
    <row r="75" customFormat="false" ht="15" hidden="false" customHeight="false" outlineLevel="0" collapsed="false">
      <c r="A75" s="14" t="s">
        <v>54</v>
      </c>
      <c r="B75" s="14" t="s">
        <v>52</v>
      </c>
      <c r="C75" s="14" t="s">
        <v>78</v>
      </c>
      <c r="D75" s="14" t="n">
        <v>3</v>
      </c>
      <c r="E75" s="14" t="n">
        <v>45</v>
      </c>
      <c r="F75" s="14" t="n">
        <v>0.1</v>
      </c>
      <c r="G75" s="14" t="s">
        <v>100</v>
      </c>
      <c r="H75" s="15" t="n">
        <v>7690.51</v>
      </c>
      <c r="I75" s="16" t="n">
        <v>30.052</v>
      </c>
    </row>
    <row r="76" customFormat="false" ht="15" hidden="false" customHeight="false" outlineLevel="0" collapsed="false">
      <c r="A76" s="10" t="s">
        <v>54</v>
      </c>
      <c r="B76" s="10" t="s">
        <v>52</v>
      </c>
      <c r="C76" s="10" t="s">
        <v>78</v>
      </c>
      <c r="D76" s="10" t="n">
        <v>4</v>
      </c>
      <c r="E76" s="10" t="n">
        <v>46</v>
      </c>
      <c r="F76" s="10" t="n">
        <v>0.1</v>
      </c>
      <c r="G76" s="10" t="s">
        <v>100</v>
      </c>
      <c r="H76" s="11" t="n">
        <v>7746</v>
      </c>
      <c r="I76" s="12" t="n">
        <v>30.264</v>
      </c>
    </row>
    <row r="77" customFormat="false" ht="15" hidden="false" customHeight="false" outlineLevel="0" collapsed="false">
      <c r="A77" s="14" t="s">
        <v>54</v>
      </c>
      <c r="B77" s="14" t="s">
        <v>52</v>
      </c>
      <c r="C77" s="14" t="s">
        <v>101</v>
      </c>
      <c r="D77" s="14" t="n">
        <v>0</v>
      </c>
      <c r="E77" s="14" t="n">
        <v>42</v>
      </c>
      <c r="F77" s="14" t="n">
        <v>0.9</v>
      </c>
      <c r="G77" s="14" t="n">
        <v>10</v>
      </c>
      <c r="H77" s="15" t="n">
        <v>7662.45</v>
      </c>
      <c r="I77" s="16" t="n">
        <v>30.014</v>
      </c>
    </row>
    <row r="78" customFormat="false" ht="15" hidden="false" customHeight="false" outlineLevel="0" collapsed="false">
      <c r="A78" s="10" t="s">
        <v>54</v>
      </c>
      <c r="B78" s="10" t="s">
        <v>52</v>
      </c>
      <c r="C78" s="10" t="s">
        <v>101</v>
      </c>
      <c r="D78" s="10" t="n">
        <v>1</v>
      </c>
      <c r="E78" s="10" t="n">
        <v>43</v>
      </c>
      <c r="F78" s="10" t="n">
        <v>0.9</v>
      </c>
      <c r="G78" s="10" t="n">
        <v>10</v>
      </c>
      <c r="H78" s="11" t="n">
        <v>7755.23</v>
      </c>
      <c r="I78" s="12" t="n">
        <v>30.025</v>
      </c>
    </row>
    <row r="79" customFormat="false" ht="15" hidden="false" customHeight="false" outlineLevel="0" collapsed="false">
      <c r="A79" s="14" t="s">
        <v>54</v>
      </c>
      <c r="B79" s="14" t="s">
        <v>52</v>
      </c>
      <c r="C79" s="14" t="s">
        <v>101</v>
      </c>
      <c r="D79" s="14" t="n">
        <v>2</v>
      </c>
      <c r="E79" s="14" t="n">
        <v>44</v>
      </c>
      <c r="F79" s="14" t="n">
        <v>0.9</v>
      </c>
      <c r="G79" s="14" t="n">
        <v>10</v>
      </c>
      <c r="H79" s="15" t="n">
        <v>7578.52</v>
      </c>
      <c r="I79" s="16" t="n">
        <v>30.014</v>
      </c>
    </row>
    <row r="80" customFormat="false" ht="15" hidden="false" customHeight="false" outlineLevel="0" collapsed="false">
      <c r="A80" s="10" t="s">
        <v>54</v>
      </c>
      <c r="B80" s="10" t="s">
        <v>52</v>
      </c>
      <c r="C80" s="10" t="s">
        <v>101</v>
      </c>
      <c r="D80" s="10" t="n">
        <v>3</v>
      </c>
      <c r="E80" s="10" t="n">
        <v>45</v>
      </c>
      <c r="F80" s="10" t="n">
        <v>0.9</v>
      </c>
      <c r="G80" s="10" t="n">
        <v>10</v>
      </c>
      <c r="H80" s="11" t="n">
        <v>7619.24</v>
      </c>
      <c r="I80" s="12" t="n">
        <v>30.026</v>
      </c>
    </row>
    <row r="81" customFormat="false" ht="15" hidden="false" customHeight="false" outlineLevel="0" collapsed="false">
      <c r="A81" s="14" t="s">
        <v>54</v>
      </c>
      <c r="B81" s="14" t="s">
        <v>52</v>
      </c>
      <c r="C81" s="14" t="s">
        <v>101</v>
      </c>
      <c r="D81" s="14" t="n">
        <v>4</v>
      </c>
      <c r="E81" s="14" t="n">
        <v>46</v>
      </c>
      <c r="F81" s="14" t="n">
        <v>0.9</v>
      </c>
      <c r="G81" s="14" t="n">
        <v>10</v>
      </c>
      <c r="H81" s="15" t="n">
        <v>7560.8</v>
      </c>
      <c r="I81" s="16" t="n">
        <v>30.016</v>
      </c>
    </row>
    <row r="82" customFormat="false" ht="15" hidden="false" customHeight="false" outlineLevel="0" collapsed="false">
      <c r="A82" s="10" t="s">
        <v>55</v>
      </c>
      <c r="B82" s="10" t="s">
        <v>52</v>
      </c>
      <c r="C82" s="10" t="s">
        <v>78</v>
      </c>
      <c r="D82" s="10" t="n">
        <v>0</v>
      </c>
      <c r="E82" s="10" t="n">
        <v>42</v>
      </c>
      <c r="F82" s="10" t="n">
        <v>0.1</v>
      </c>
      <c r="G82" s="10" t="s">
        <v>100</v>
      </c>
      <c r="H82" s="11" t="n">
        <v>7752.31</v>
      </c>
      <c r="I82" s="12" t="n">
        <v>30.135</v>
      </c>
    </row>
    <row r="83" customFormat="false" ht="15" hidden="false" customHeight="false" outlineLevel="0" collapsed="false">
      <c r="A83" s="14" t="s">
        <v>55</v>
      </c>
      <c r="B83" s="14" t="s">
        <v>52</v>
      </c>
      <c r="C83" s="14" t="s">
        <v>78</v>
      </c>
      <c r="D83" s="14" t="n">
        <v>1</v>
      </c>
      <c r="E83" s="14" t="n">
        <v>43</v>
      </c>
      <c r="F83" s="14" t="n">
        <v>0.1</v>
      </c>
      <c r="G83" s="14" t="s">
        <v>100</v>
      </c>
      <c r="H83" s="15" t="n">
        <v>7717.46</v>
      </c>
      <c r="I83" s="16" t="n">
        <v>30.194</v>
      </c>
    </row>
    <row r="84" customFormat="false" ht="15" hidden="false" customHeight="false" outlineLevel="0" collapsed="false">
      <c r="A84" s="10" t="s">
        <v>55</v>
      </c>
      <c r="B84" s="10" t="s">
        <v>52</v>
      </c>
      <c r="C84" s="10" t="s">
        <v>78</v>
      </c>
      <c r="D84" s="10" t="n">
        <v>2</v>
      </c>
      <c r="E84" s="10" t="n">
        <v>44</v>
      </c>
      <c r="F84" s="10" t="n">
        <v>0.1</v>
      </c>
      <c r="G84" s="10" t="s">
        <v>100</v>
      </c>
      <c r="H84" s="11" t="n">
        <v>7694.65</v>
      </c>
      <c r="I84" s="12" t="n">
        <v>30.134</v>
      </c>
    </row>
    <row r="85" customFormat="false" ht="15" hidden="false" customHeight="false" outlineLevel="0" collapsed="false">
      <c r="A85" s="14" t="s">
        <v>55</v>
      </c>
      <c r="B85" s="14" t="s">
        <v>52</v>
      </c>
      <c r="C85" s="14" t="s">
        <v>78</v>
      </c>
      <c r="D85" s="14" t="n">
        <v>3</v>
      </c>
      <c r="E85" s="14" t="n">
        <v>45</v>
      </c>
      <c r="F85" s="14" t="n">
        <v>0.1</v>
      </c>
      <c r="G85" s="14" t="s">
        <v>100</v>
      </c>
      <c r="H85" s="15" t="n">
        <v>7681.87</v>
      </c>
      <c r="I85" s="16" t="n">
        <v>30.16</v>
      </c>
    </row>
    <row r="86" customFormat="false" ht="15" hidden="false" customHeight="false" outlineLevel="0" collapsed="false">
      <c r="A86" s="10" t="s">
        <v>55</v>
      </c>
      <c r="B86" s="10" t="s">
        <v>52</v>
      </c>
      <c r="C86" s="10" t="s">
        <v>78</v>
      </c>
      <c r="D86" s="10" t="n">
        <v>4</v>
      </c>
      <c r="E86" s="10" t="n">
        <v>46</v>
      </c>
      <c r="F86" s="10" t="n">
        <v>0.1</v>
      </c>
      <c r="G86" s="10" t="s">
        <v>100</v>
      </c>
      <c r="H86" s="11" t="n">
        <v>7714.53</v>
      </c>
      <c r="I86" s="12" t="n">
        <v>30.402</v>
      </c>
    </row>
    <row r="87" customFormat="false" ht="15" hidden="false" customHeight="false" outlineLevel="0" collapsed="false">
      <c r="A87" s="14" t="s">
        <v>55</v>
      </c>
      <c r="B87" s="14" t="s">
        <v>52</v>
      </c>
      <c r="C87" s="14" t="s">
        <v>101</v>
      </c>
      <c r="D87" s="14" t="n">
        <v>0</v>
      </c>
      <c r="E87" s="14" t="n">
        <v>42</v>
      </c>
      <c r="F87" s="14" t="n">
        <v>0.9</v>
      </c>
      <c r="G87" s="14" t="n">
        <v>10</v>
      </c>
      <c r="H87" s="15" t="n">
        <v>7726.58</v>
      </c>
      <c r="I87" s="16" t="n">
        <v>30.006</v>
      </c>
    </row>
    <row r="88" customFormat="false" ht="15" hidden="false" customHeight="false" outlineLevel="0" collapsed="false">
      <c r="A88" s="10" t="s">
        <v>55</v>
      </c>
      <c r="B88" s="10" t="s">
        <v>52</v>
      </c>
      <c r="C88" s="10" t="s">
        <v>101</v>
      </c>
      <c r="D88" s="10" t="n">
        <v>1</v>
      </c>
      <c r="E88" s="10" t="n">
        <v>43</v>
      </c>
      <c r="F88" s="10" t="n">
        <v>0.9</v>
      </c>
      <c r="G88" s="10" t="n">
        <v>10</v>
      </c>
      <c r="H88" s="11" t="n">
        <v>7710.71</v>
      </c>
      <c r="I88" s="12" t="n">
        <v>30.037</v>
      </c>
    </row>
    <row r="89" customFormat="false" ht="15" hidden="false" customHeight="false" outlineLevel="0" collapsed="false">
      <c r="A89" s="14" t="s">
        <v>55</v>
      </c>
      <c r="B89" s="14" t="s">
        <v>52</v>
      </c>
      <c r="C89" s="14" t="s">
        <v>101</v>
      </c>
      <c r="D89" s="14" t="n">
        <v>2</v>
      </c>
      <c r="E89" s="14" t="n">
        <v>44</v>
      </c>
      <c r="F89" s="14" t="n">
        <v>0.9</v>
      </c>
      <c r="G89" s="14" t="n">
        <v>10</v>
      </c>
      <c r="H89" s="15" t="n">
        <v>7690.74</v>
      </c>
      <c r="I89" s="16" t="n">
        <v>30.038</v>
      </c>
    </row>
    <row r="90" customFormat="false" ht="15" hidden="false" customHeight="false" outlineLevel="0" collapsed="false">
      <c r="A90" s="10" t="s">
        <v>55</v>
      </c>
      <c r="B90" s="10" t="s">
        <v>52</v>
      </c>
      <c r="C90" s="10" t="s">
        <v>101</v>
      </c>
      <c r="D90" s="10" t="n">
        <v>3</v>
      </c>
      <c r="E90" s="10" t="n">
        <v>45</v>
      </c>
      <c r="F90" s="10" t="n">
        <v>0.9</v>
      </c>
      <c r="G90" s="10" t="n">
        <v>10</v>
      </c>
      <c r="H90" s="11" t="n">
        <v>7684.67</v>
      </c>
      <c r="I90" s="12" t="n">
        <v>30.017</v>
      </c>
    </row>
    <row r="91" customFormat="false" ht="15" hidden="false" customHeight="false" outlineLevel="0" collapsed="false">
      <c r="A91" s="14" t="s">
        <v>55</v>
      </c>
      <c r="B91" s="14" t="s">
        <v>52</v>
      </c>
      <c r="C91" s="14" t="s">
        <v>101</v>
      </c>
      <c r="D91" s="14" t="n">
        <v>4</v>
      </c>
      <c r="E91" s="14" t="n">
        <v>46</v>
      </c>
      <c r="F91" s="14" t="n">
        <v>0.9</v>
      </c>
      <c r="G91" s="14" t="n">
        <v>10</v>
      </c>
      <c r="H91" s="15" t="n">
        <v>7643.33</v>
      </c>
      <c r="I91" s="16" t="n">
        <v>30.045</v>
      </c>
    </row>
    <row r="92" customFormat="false" ht="15" hidden="false" customHeight="false" outlineLevel="0" collapsed="false">
      <c r="A92" s="10" t="s">
        <v>56</v>
      </c>
      <c r="B92" s="10" t="s">
        <v>52</v>
      </c>
      <c r="C92" s="10" t="s">
        <v>78</v>
      </c>
      <c r="D92" s="10" t="n">
        <v>0</v>
      </c>
      <c r="E92" s="10" t="n">
        <v>42</v>
      </c>
      <c r="F92" s="10" t="n">
        <v>0.1</v>
      </c>
      <c r="G92" s="10" t="s">
        <v>100</v>
      </c>
      <c r="H92" s="11" t="n">
        <v>7716.37</v>
      </c>
      <c r="I92" s="12" t="n">
        <v>30.244</v>
      </c>
    </row>
    <row r="93" customFormat="false" ht="15" hidden="false" customHeight="false" outlineLevel="0" collapsed="false">
      <c r="A93" s="14" t="s">
        <v>56</v>
      </c>
      <c r="B93" s="14" t="s">
        <v>52</v>
      </c>
      <c r="C93" s="14" t="s">
        <v>78</v>
      </c>
      <c r="D93" s="14" t="n">
        <v>1</v>
      </c>
      <c r="E93" s="14" t="n">
        <v>43</v>
      </c>
      <c r="F93" s="14" t="n">
        <v>0.1</v>
      </c>
      <c r="G93" s="14" t="s">
        <v>100</v>
      </c>
      <c r="H93" s="15" t="n">
        <v>7749.4</v>
      </c>
      <c r="I93" s="16" t="n">
        <v>30.658</v>
      </c>
    </row>
    <row r="94" customFormat="false" ht="15" hidden="false" customHeight="false" outlineLevel="0" collapsed="false">
      <c r="A94" s="10" t="s">
        <v>56</v>
      </c>
      <c r="B94" s="10" t="s">
        <v>52</v>
      </c>
      <c r="C94" s="10" t="s">
        <v>78</v>
      </c>
      <c r="D94" s="10" t="n">
        <v>2</v>
      </c>
      <c r="E94" s="10" t="n">
        <v>44</v>
      </c>
      <c r="F94" s="10" t="n">
        <v>0.1</v>
      </c>
      <c r="G94" s="10" t="s">
        <v>100</v>
      </c>
      <c r="H94" s="11" t="n">
        <v>7728.95</v>
      </c>
      <c r="I94" s="12" t="n">
        <v>30.333</v>
      </c>
    </row>
    <row r="95" customFormat="false" ht="15" hidden="false" customHeight="false" outlineLevel="0" collapsed="false">
      <c r="A95" s="14" t="s">
        <v>56</v>
      </c>
      <c r="B95" s="14" t="s">
        <v>52</v>
      </c>
      <c r="C95" s="14" t="s">
        <v>78</v>
      </c>
      <c r="D95" s="14" t="n">
        <v>3</v>
      </c>
      <c r="E95" s="14" t="n">
        <v>45</v>
      </c>
      <c r="F95" s="14" t="n">
        <v>0.1</v>
      </c>
      <c r="G95" s="14" t="s">
        <v>100</v>
      </c>
      <c r="H95" s="15" t="n">
        <v>7731.96</v>
      </c>
      <c r="I95" s="16" t="n">
        <v>30.197</v>
      </c>
    </row>
    <row r="96" customFormat="false" ht="15" hidden="false" customHeight="false" outlineLevel="0" collapsed="false">
      <c r="A96" s="10" t="s">
        <v>56</v>
      </c>
      <c r="B96" s="10" t="s">
        <v>52</v>
      </c>
      <c r="C96" s="10" t="s">
        <v>78</v>
      </c>
      <c r="D96" s="10" t="n">
        <v>4</v>
      </c>
      <c r="E96" s="10" t="n">
        <v>46</v>
      </c>
      <c r="F96" s="10" t="n">
        <v>0.1</v>
      </c>
      <c r="G96" s="10" t="s">
        <v>100</v>
      </c>
      <c r="H96" s="11" t="n">
        <v>7727.54</v>
      </c>
      <c r="I96" s="12" t="n">
        <v>30.39</v>
      </c>
    </row>
    <row r="97" customFormat="false" ht="15" hidden="false" customHeight="false" outlineLevel="0" collapsed="false">
      <c r="A97" s="14" t="s">
        <v>56</v>
      </c>
      <c r="B97" s="14" t="s">
        <v>52</v>
      </c>
      <c r="C97" s="14" t="s">
        <v>101</v>
      </c>
      <c r="D97" s="14" t="n">
        <v>0</v>
      </c>
      <c r="E97" s="14" t="n">
        <v>42</v>
      </c>
      <c r="F97" s="14" t="n">
        <v>0.9</v>
      </c>
      <c r="G97" s="14" t="n">
        <v>10</v>
      </c>
      <c r="H97" s="15" t="n">
        <v>7726.46</v>
      </c>
      <c r="I97" s="16" t="n">
        <v>30.013</v>
      </c>
    </row>
    <row r="98" customFormat="false" ht="15" hidden="false" customHeight="false" outlineLevel="0" collapsed="false">
      <c r="A98" s="10" t="s">
        <v>56</v>
      </c>
      <c r="B98" s="10" t="s">
        <v>52</v>
      </c>
      <c r="C98" s="10" t="s">
        <v>101</v>
      </c>
      <c r="D98" s="10" t="n">
        <v>1</v>
      </c>
      <c r="E98" s="10" t="n">
        <v>43</v>
      </c>
      <c r="F98" s="10" t="n">
        <v>0.9</v>
      </c>
      <c r="G98" s="10" t="n">
        <v>10</v>
      </c>
      <c r="H98" s="11" t="n">
        <v>7696.73</v>
      </c>
      <c r="I98" s="12" t="n">
        <v>30.011</v>
      </c>
    </row>
    <row r="99" customFormat="false" ht="15" hidden="false" customHeight="false" outlineLevel="0" collapsed="false">
      <c r="A99" s="14" t="s">
        <v>56</v>
      </c>
      <c r="B99" s="14" t="s">
        <v>52</v>
      </c>
      <c r="C99" s="14" t="s">
        <v>101</v>
      </c>
      <c r="D99" s="14" t="n">
        <v>2</v>
      </c>
      <c r="E99" s="14" t="n">
        <v>44</v>
      </c>
      <c r="F99" s="14" t="n">
        <v>0.9</v>
      </c>
      <c r="G99" s="14" t="n">
        <v>10</v>
      </c>
      <c r="H99" s="15" t="n">
        <v>7672.74</v>
      </c>
      <c r="I99" s="16" t="n">
        <v>30.049</v>
      </c>
    </row>
    <row r="100" customFormat="false" ht="15" hidden="false" customHeight="false" outlineLevel="0" collapsed="false">
      <c r="A100" s="10" t="s">
        <v>56</v>
      </c>
      <c r="B100" s="10" t="s">
        <v>52</v>
      </c>
      <c r="C100" s="10" t="s">
        <v>101</v>
      </c>
      <c r="D100" s="10" t="n">
        <v>3</v>
      </c>
      <c r="E100" s="10" t="n">
        <v>45</v>
      </c>
      <c r="F100" s="10" t="n">
        <v>0.9</v>
      </c>
      <c r="G100" s="10" t="n">
        <v>10</v>
      </c>
      <c r="H100" s="11" t="n">
        <v>7653.43</v>
      </c>
      <c r="I100" s="12" t="n">
        <v>30.026</v>
      </c>
    </row>
    <row r="101" customFormat="false" ht="15" hidden="false" customHeight="false" outlineLevel="0" collapsed="false">
      <c r="A101" s="14" t="s">
        <v>56</v>
      </c>
      <c r="B101" s="14" t="s">
        <v>52</v>
      </c>
      <c r="C101" s="14" t="s">
        <v>101</v>
      </c>
      <c r="D101" s="14" t="n">
        <v>4</v>
      </c>
      <c r="E101" s="14" t="n">
        <v>46</v>
      </c>
      <c r="F101" s="14" t="n">
        <v>0.9</v>
      </c>
      <c r="G101" s="14" t="n">
        <v>10</v>
      </c>
      <c r="H101" s="15" t="n">
        <v>7755.2</v>
      </c>
      <c r="I101" s="16" t="n">
        <v>30.043</v>
      </c>
    </row>
    <row r="102" customFormat="false" ht="15" hidden="false" customHeight="false" outlineLevel="0" collapsed="false">
      <c r="A102" s="10" t="s">
        <v>57</v>
      </c>
      <c r="B102" s="10" t="s">
        <v>52</v>
      </c>
      <c r="C102" s="10" t="s">
        <v>78</v>
      </c>
      <c r="D102" s="10" t="n">
        <v>0</v>
      </c>
      <c r="E102" s="10" t="n">
        <v>42</v>
      </c>
      <c r="F102" s="10" t="n">
        <v>0.1</v>
      </c>
      <c r="G102" s="10" t="s">
        <v>100</v>
      </c>
      <c r="H102" s="11" t="n">
        <v>7724.21</v>
      </c>
      <c r="I102" s="12" t="n">
        <v>30.099</v>
      </c>
    </row>
    <row r="103" customFormat="false" ht="15" hidden="false" customHeight="false" outlineLevel="0" collapsed="false">
      <c r="A103" s="14" t="s">
        <v>57</v>
      </c>
      <c r="B103" s="14" t="s">
        <v>52</v>
      </c>
      <c r="C103" s="14" t="s">
        <v>78</v>
      </c>
      <c r="D103" s="14" t="n">
        <v>1</v>
      </c>
      <c r="E103" s="14" t="n">
        <v>43</v>
      </c>
      <c r="F103" s="14" t="n">
        <v>0.1</v>
      </c>
      <c r="G103" s="14" t="s">
        <v>100</v>
      </c>
      <c r="H103" s="15" t="n">
        <v>7739.22</v>
      </c>
      <c r="I103" s="16" t="n">
        <v>30.132</v>
      </c>
    </row>
    <row r="104" customFormat="false" ht="15" hidden="false" customHeight="false" outlineLevel="0" collapsed="false">
      <c r="A104" s="10" t="s">
        <v>57</v>
      </c>
      <c r="B104" s="10" t="s">
        <v>52</v>
      </c>
      <c r="C104" s="10" t="s">
        <v>78</v>
      </c>
      <c r="D104" s="10" t="n">
        <v>2</v>
      </c>
      <c r="E104" s="10" t="n">
        <v>44</v>
      </c>
      <c r="F104" s="10" t="n">
        <v>0.1</v>
      </c>
      <c r="G104" s="10" t="s">
        <v>100</v>
      </c>
      <c r="H104" s="11" t="n">
        <v>7739.85</v>
      </c>
      <c r="I104" s="12" t="n">
        <v>30.375</v>
      </c>
    </row>
    <row r="105" customFormat="false" ht="15" hidden="false" customHeight="false" outlineLevel="0" collapsed="false">
      <c r="A105" s="14" t="s">
        <v>57</v>
      </c>
      <c r="B105" s="14" t="s">
        <v>52</v>
      </c>
      <c r="C105" s="14" t="s">
        <v>78</v>
      </c>
      <c r="D105" s="14" t="n">
        <v>3</v>
      </c>
      <c r="E105" s="14" t="n">
        <v>45</v>
      </c>
      <c r="F105" s="14" t="n">
        <v>0.1</v>
      </c>
      <c r="G105" s="14" t="s">
        <v>100</v>
      </c>
      <c r="H105" s="15" t="n">
        <v>7748.34</v>
      </c>
      <c r="I105" s="16" t="n">
        <v>30.109</v>
      </c>
    </row>
    <row r="106" customFormat="false" ht="15" hidden="false" customHeight="false" outlineLevel="0" collapsed="false">
      <c r="A106" s="10" t="s">
        <v>57</v>
      </c>
      <c r="B106" s="10" t="s">
        <v>52</v>
      </c>
      <c r="C106" s="10" t="s">
        <v>78</v>
      </c>
      <c r="D106" s="10" t="n">
        <v>4</v>
      </c>
      <c r="E106" s="10" t="n">
        <v>46</v>
      </c>
      <c r="F106" s="10" t="n">
        <v>0.1</v>
      </c>
      <c r="G106" s="10" t="s">
        <v>100</v>
      </c>
      <c r="H106" s="11" t="n">
        <v>7736.96</v>
      </c>
      <c r="I106" s="12" t="n">
        <v>30.841</v>
      </c>
    </row>
    <row r="107" customFormat="false" ht="15" hidden="false" customHeight="false" outlineLevel="0" collapsed="false">
      <c r="A107" s="14" t="s">
        <v>57</v>
      </c>
      <c r="B107" s="14" t="s">
        <v>52</v>
      </c>
      <c r="C107" s="14" t="s">
        <v>101</v>
      </c>
      <c r="D107" s="14" t="n">
        <v>0</v>
      </c>
      <c r="E107" s="14" t="n">
        <v>42</v>
      </c>
      <c r="F107" s="14" t="n">
        <v>0.9</v>
      </c>
      <c r="G107" s="14" t="n">
        <v>10</v>
      </c>
      <c r="H107" s="15" t="n">
        <v>7769.29</v>
      </c>
      <c r="I107" s="16" t="n">
        <v>30.005</v>
      </c>
    </row>
    <row r="108" customFormat="false" ht="15" hidden="false" customHeight="false" outlineLevel="0" collapsed="false">
      <c r="A108" s="10" t="s">
        <v>57</v>
      </c>
      <c r="B108" s="10" t="s">
        <v>52</v>
      </c>
      <c r="C108" s="10" t="s">
        <v>101</v>
      </c>
      <c r="D108" s="10" t="n">
        <v>1</v>
      </c>
      <c r="E108" s="10" t="n">
        <v>43</v>
      </c>
      <c r="F108" s="10" t="n">
        <v>0.9</v>
      </c>
      <c r="G108" s="10" t="n">
        <v>10</v>
      </c>
      <c r="H108" s="11" t="n">
        <v>7769.48</v>
      </c>
      <c r="I108" s="12" t="n">
        <v>30.046</v>
      </c>
    </row>
    <row r="109" customFormat="false" ht="15" hidden="false" customHeight="false" outlineLevel="0" collapsed="false">
      <c r="A109" s="14" t="s">
        <v>57</v>
      </c>
      <c r="B109" s="14" t="s">
        <v>52</v>
      </c>
      <c r="C109" s="14" t="s">
        <v>101</v>
      </c>
      <c r="D109" s="14" t="n">
        <v>2</v>
      </c>
      <c r="E109" s="14" t="n">
        <v>44</v>
      </c>
      <c r="F109" s="14" t="n">
        <v>0.9</v>
      </c>
      <c r="G109" s="14" t="n">
        <v>10</v>
      </c>
      <c r="H109" s="15" t="n">
        <v>7780.22</v>
      </c>
      <c r="I109" s="16" t="n">
        <v>30.04</v>
      </c>
    </row>
    <row r="110" customFormat="false" ht="15" hidden="false" customHeight="false" outlineLevel="0" collapsed="false">
      <c r="A110" s="10" t="s">
        <v>57</v>
      </c>
      <c r="B110" s="10" t="s">
        <v>52</v>
      </c>
      <c r="C110" s="10" t="s">
        <v>101</v>
      </c>
      <c r="D110" s="10" t="n">
        <v>3</v>
      </c>
      <c r="E110" s="10" t="n">
        <v>45</v>
      </c>
      <c r="F110" s="10" t="n">
        <v>0.9</v>
      </c>
      <c r="G110" s="10" t="n">
        <v>10</v>
      </c>
      <c r="H110" s="11" t="n">
        <v>7728.95</v>
      </c>
      <c r="I110" s="12" t="n">
        <v>30.045</v>
      </c>
    </row>
    <row r="111" customFormat="false" ht="15" hidden="false" customHeight="false" outlineLevel="0" collapsed="false">
      <c r="A111" s="14" t="s">
        <v>57</v>
      </c>
      <c r="B111" s="14" t="s">
        <v>52</v>
      </c>
      <c r="C111" s="14" t="s">
        <v>101</v>
      </c>
      <c r="D111" s="14" t="n">
        <v>4</v>
      </c>
      <c r="E111" s="14" t="n">
        <v>46</v>
      </c>
      <c r="F111" s="14" t="n">
        <v>0.9</v>
      </c>
      <c r="G111" s="14" t="n">
        <v>10</v>
      </c>
      <c r="H111" s="15" t="n">
        <v>7691.81</v>
      </c>
      <c r="I111" s="16" t="n">
        <v>30.02</v>
      </c>
    </row>
    <row r="112" customFormat="false" ht="15" hidden="false" customHeight="false" outlineLevel="0" collapsed="false">
      <c r="A112" s="10" t="s">
        <v>94</v>
      </c>
      <c r="B112" s="10" t="s">
        <v>52</v>
      </c>
      <c r="C112" s="10" t="s">
        <v>78</v>
      </c>
      <c r="D112" s="10" t="n">
        <v>0</v>
      </c>
      <c r="E112" s="10" t="n">
        <v>42</v>
      </c>
      <c r="F112" s="10" t="n">
        <v>0.1</v>
      </c>
      <c r="G112" s="10" t="s">
        <v>100</v>
      </c>
      <c r="H112" s="11" t="n">
        <v>7728.43</v>
      </c>
      <c r="I112" s="12" t="n">
        <v>30.576</v>
      </c>
    </row>
    <row r="113" customFormat="false" ht="15" hidden="false" customHeight="false" outlineLevel="0" collapsed="false">
      <c r="A113" s="14" t="s">
        <v>94</v>
      </c>
      <c r="B113" s="14" t="s">
        <v>52</v>
      </c>
      <c r="C113" s="14" t="s">
        <v>78</v>
      </c>
      <c r="D113" s="14" t="n">
        <v>1</v>
      </c>
      <c r="E113" s="14" t="n">
        <v>43</v>
      </c>
      <c r="F113" s="14" t="n">
        <v>0.1</v>
      </c>
      <c r="G113" s="14" t="s">
        <v>100</v>
      </c>
      <c r="H113" s="15" t="n">
        <v>7751.97</v>
      </c>
      <c r="I113" s="16" t="n">
        <v>30.234</v>
      </c>
    </row>
    <row r="114" customFormat="false" ht="15" hidden="false" customHeight="false" outlineLevel="0" collapsed="false">
      <c r="A114" s="10" t="s">
        <v>94</v>
      </c>
      <c r="B114" s="10" t="s">
        <v>52</v>
      </c>
      <c r="C114" s="10" t="s">
        <v>78</v>
      </c>
      <c r="D114" s="10" t="n">
        <v>2</v>
      </c>
      <c r="E114" s="10" t="n">
        <v>44</v>
      </c>
      <c r="F114" s="10" t="n">
        <v>0.1</v>
      </c>
      <c r="G114" s="10" t="s">
        <v>100</v>
      </c>
      <c r="H114" s="11" t="n">
        <v>7713.12</v>
      </c>
      <c r="I114" s="12" t="n">
        <v>30.179</v>
      </c>
    </row>
    <row r="115" customFormat="false" ht="15" hidden="false" customHeight="false" outlineLevel="0" collapsed="false">
      <c r="A115" s="14" t="s">
        <v>94</v>
      </c>
      <c r="B115" s="14" t="s">
        <v>52</v>
      </c>
      <c r="C115" s="14" t="s">
        <v>78</v>
      </c>
      <c r="D115" s="14" t="n">
        <v>3</v>
      </c>
      <c r="E115" s="14" t="n">
        <v>45</v>
      </c>
      <c r="F115" s="14" t="n">
        <v>0.1</v>
      </c>
      <c r="G115" s="14" t="s">
        <v>100</v>
      </c>
      <c r="H115" s="15" t="n">
        <v>7745.9</v>
      </c>
      <c r="I115" s="16" t="n">
        <v>30.223</v>
      </c>
    </row>
    <row r="116" customFormat="false" ht="15" hidden="false" customHeight="false" outlineLevel="0" collapsed="false">
      <c r="A116" s="10" t="s">
        <v>94</v>
      </c>
      <c r="B116" s="10" t="s">
        <v>52</v>
      </c>
      <c r="C116" s="10" t="s">
        <v>78</v>
      </c>
      <c r="D116" s="10" t="n">
        <v>4</v>
      </c>
      <c r="E116" s="10" t="n">
        <v>46</v>
      </c>
      <c r="F116" s="10" t="n">
        <v>0.1</v>
      </c>
      <c r="G116" s="10" t="s">
        <v>100</v>
      </c>
      <c r="H116" s="11" t="n">
        <v>7757.5</v>
      </c>
      <c r="I116" s="12" t="n">
        <v>30.04</v>
      </c>
    </row>
    <row r="117" customFormat="false" ht="15" hidden="false" customHeight="false" outlineLevel="0" collapsed="false">
      <c r="A117" s="14" t="s">
        <v>94</v>
      </c>
      <c r="B117" s="14" t="s">
        <v>52</v>
      </c>
      <c r="C117" s="14" t="s">
        <v>101</v>
      </c>
      <c r="D117" s="14" t="n">
        <v>0</v>
      </c>
      <c r="E117" s="14" t="n">
        <v>42</v>
      </c>
      <c r="F117" s="14" t="n">
        <v>0.9</v>
      </c>
      <c r="G117" s="14" t="n">
        <v>10</v>
      </c>
      <c r="H117" s="15" t="n">
        <v>7653.24</v>
      </c>
      <c r="I117" s="16" t="n">
        <v>30.03</v>
      </c>
    </row>
    <row r="118" customFormat="false" ht="15" hidden="false" customHeight="false" outlineLevel="0" collapsed="false">
      <c r="A118" s="10" t="s">
        <v>94</v>
      </c>
      <c r="B118" s="10" t="s">
        <v>52</v>
      </c>
      <c r="C118" s="10" t="s">
        <v>101</v>
      </c>
      <c r="D118" s="10" t="n">
        <v>1</v>
      </c>
      <c r="E118" s="10" t="n">
        <v>43</v>
      </c>
      <c r="F118" s="10" t="n">
        <v>0.9</v>
      </c>
      <c r="G118" s="10" t="n">
        <v>10</v>
      </c>
      <c r="H118" s="11" t="n">
        <v>7666.5</v>
      </c>
      <c r="I118" s="12" t="n">
        <v>30.009</v>
      </c>
    </row>
    <row r="119" customFormat="false" ht="15" hidden="false" customHeight="false" outlineLevel="0" collapsed="false">
      <c r="A119" s="14" t="s">
        <v>94</v>
      </c>
      <c r="B119" s="14" t="s">
        <v>52</v>
      </c>
      <c r="C119" s="14" t="s">
        <v>101</v>
      </c>
      <c r="D119" s="14" t="n">
        <v>2</v>
      </c>
      <c r="E119" s="14" t="n">
        <v>44</v>
      </c>
      <c r="F119" s="14" t="n">
        <v>0.9</v>
      </c>
      <c r="G119" s="14" t="n">
        <v>10</v>
      </c>
      <c r="H119" s="15" t="n">
        <v>7711.79</v>
      </c>
      <c r="I119" s="16" t="n">
        <v>30.008</v>
      </c>
    </row>
    <row r="120" customFormat="false" ht="15" hidden="false" customHeight="false" outlineLevel="0" collapsed="false">
      <c r="A120" s="10" t="s">
        <v>94</v>
      </c>
      <c r="B120" s="10" t="s">
        <v>52</v>
      </c>
      <c r="C120" s="10" t="s">
        <v>101</v>
      </c>
      <c r="D120" s="10" t="n">
        <v>3</v>
      </c>
      <c r="E120" s="10" t="n">
        <v>45</v>
      </c>
      <c r="F120" s="10" t="n">
        <v>0.9</v>
      </c>
      <c r="G120" s="10" t="n">
        <v>10</v>
      </c>
      <c r="H120" s="11" t="n">
        <v>7728.4</v>
      </c>
      <c r="I120" s="12" t="n">
        <v>30.013</v>
      </c>
    </row>
    <row r="121" customFormat="false" ht="15" hidden="false" customHeight="false" outlineLevel="0" collapsed="false">
      <c r="A121" s="14" t="s">
        <v>94</v>
      </c>
      <c r="B121" s="14" t="s">
        <v>52</v>
      </c>
      <c r="C121" s="14" t="s">
        <v>101</v>
      </c>
      <c r="D121" s="14" t="n">
        <v>4</v>
      </c>
      <c r="E121" s="14" t="n">
        <v>46</v>
      </c>
      <c r="F121" s="14" t="n">
        <v>0.9</v>
      </c>
      <c r="G121" s="14" t="n">
        <v>10</v>
      </c>
      <c r="H121" s="15" t="n">
        <v>7691.31</v>
      </c>
      <c r="I121" s="16" t="n">
        <v>30.035</v>
      </c>
    </row>
    <row r="122" customFormat="false" ht="15" hidden="false" customHeight="false" outlineLevel="0" collapsed="false">
      <c r="A122" s="10" t="s">
        <v>95</v>
      </c>
      <c r="B122" s="10" t="s">
        <v>52</v>
      </c>
      <c r="C122" s="10" t="s">
        <v>78</v>
      </c>
      <c r="D122" s="10" t="n">
        <v>0</v>
      </c>
      <c r="E122" s="10" t="n">
        <v>42</v>
      </c>
      <c r="F122" s="10" t="n">
        <v>0.1</v>
      </c>
      <c r="G122" s="10" t="s">
        <v>100</v>
      </c>
      <c r="H122" s="11" t="n">
        <v>7692.77</v>
      </c>
      <c r="I122" s="12" t="n">
        <v>30.018</v>
      </c>
    </row>
    <row r="123" customFormat="false" ht="15" hidden="false" customHeight="false" outlineLevel="0" collapsed="false">
      <c r="A123" s="14" t="s">
        <v>95</v>
      </c>
      <c r="B123" s="14" t="s">
        <v>52</v>
      </c>
      <c r="C123" s="14" t="s">
        <v>78</v>
      </c>
      <c r="D123" s="14" t="n">
        <v>1</v>
      </c>
      <c r="E123" s="14" t="n">
        <v>43</v>
      </c>
      <c r="F123" s="14" t="n">
        <v>0.1</v>
      </c>
      <c r="G123" s="14" t="s">
        <v>100</v>
      </c>
      <c r="H123" s="15" t="n">
        <v>7756.16</v>
      </c>
      <c r="I123" s="16" t="n">
        <v>30.124</v>
      </c>
    </row>
    <row r="124" customFormat="false" ht="15" hidden="false" customHeight="false" outlineLevel="0" collapsed="false">
      <c r="A124" s="10" t="s">
        <v>95</v>
      </c>
      <c r="B124" s="10" t="s">
        <v>52</v>
      </c>
      <c r="C124" s="10" t="s">
        <v>78</v>
      </c>
      <c r="D124" s="10" t="n">
        <v>2</v>
      </c>
      <c r="E124" s="10" t="n">
        <v>44</v>
      </c>
      <c r="F124" s="10" t="n">
        <v>0.1</v>
      </c>
      <c r="G124" s="10" t="s">
        <v>100</v>
      </c>
      <c r="H124" s="11" t="n">
        <v>7716.6</v>
      </c>
      <c r="I124" s="12" t="n">
        <v>30.262</v>
      </c>
    </row>
    <row r="125" customFormat="false" ht="15" hidden="false" customHeight="false" outlineLevel="0" collapsed="false">
      <c r="A125" s="14" t="s">
        <v>95</v>
      </c>
      <c r="B125" s="14" t="s">
        <v>52</v>
      </c>
      <c r="C125" s="14" t="s">
        <v>78</v>
      </c>
      <c r="D125" s="14" t="n">
        <v>3</v>
      </c>
      <c r="E125" s="14" t="n">
        <v>45</v>
      </c>
      <c r="F125" s="14" t="n">
        <v>0.1</v>
      </c>
      <c r="G125" s="14" t="s">
        <v>100</v>
      </c>
      <c r="H125" s="15" t="n">
        <v>7751.45</v>
      </c>
      <c r="I125" s="16" t="n">
        <v>30.794</v>
      </c>
    </row>
    <row r="126" customFormat="false" ht="15" hidden="false" customHeight="false" outlineLevel="0" collapsed="false">
      <c r="A126" s="10" t="s">
        <v>95</v>
      </c>
      <c r="B126" s="10" t="s">
        <v>52</v>
      </c>
      <c r="C126" s="10" t="s">
        <v>78</v>
      </c>
      <c r="D126" s="10" t="n">
        <v>4</v>
      </c>
      <c r="E126" s="10" t="n">
        <v>46</v>
      </c>
      <c r="F126" s="10" t="n">
        <v>0.1</v>
      </c>
      <c r="G126" s="10" t="s">
        <v>100</v>
      </c>
      <c r="H126" s="11" t="n">
        <v>7698.19</v>
      </c>
      <c r="I126" s="12" t="n">
        <v>30.441</v>
      </c>
    </row>
    <row r="127" customFormat="false" ht="15" hidden="false" customHeight="false" outlineLevel="0" collapsed="false">
      <c r="A127" s="14" t="s">
        <v>95</v>
      </c>
      <c r="B127" s="14" t="s">
        <v>52</v>
      </c>
      <c r="C127" s="14" t="s">
        <v>101</v>
      </c>
      <c r="D127" s="14" t="n">
        <v>0</v>
      </c>
      <c r="E127" s="14" t="n">
        <v>42</v>
      </c>
      <c r="F127" s="14" t="n">
        <v>0.9</v>
      </c>
      <c r="G127" s="14" t="n">
        <v>10</v>
      </c>
      <c r="H127" s="15" t="n">
        <v>7704.12</v>
      </c>
      <c r="I127" s="16" t="n">
        <v>30.014</v>
      </c>
    </row>
    <row r="128" customFormat="false" ht="15" hidden="false" customHeight="false" outlineLevel="0" collapsed="false">
      <c r="A128" s="10" t="s">
        <v>95</v>
      </c>
      <c r="B128" s="10" t="s">
        <v>52</v>
      </c>
      <c r="C128" s="10" t="s">
        <v>101</v>
      </c>
      <c r="D128" s="10" t="n">
        <v>1</v>
      </c>
      <c r="E128" s="10" t="n">
        <v>43</v>
      </c>
      <c r="F128" s="10" t="n">
        <v>0.9</v>
      </c>
      <c r="G128" s="10" t="n">
        <v>10</v>
      </c>
      <c r="H128" s="11" t="n">
        <v>7785.3</v>
      </c>
      <c r="I128" s="12" t="n">
        <v>30.034</v>
      </c>
    </row>
    <row r="129" customFormat="false" ht="15" hidden="false" customHeight="false" outlineLevel="0" collapsed="false">
      <c r="A129" s="14" t="s">
        <v>95</v>
      </c>
      <c r="B129" s="14" t="s">
        <v>52</v>
      </c>
      <c r="C129" s="14" t="s">
        <v>101</v>
      </c>
      <c r="D129" s="14" t="n">
        <v>2</v>
      </c>
      <c r="E129" s="14" t="n">
        <v>44</v>
      </c>
      <c r="F129" s="14" t="n">
        <v>0.9</v>
      </c>
      <c r="G129" s="14" t="n">
        <v>10</v>
      </c>
      <c r="H129" s="15" t="n">
        <v>7686.11</v>
      </c>
      <c r="I129" s="16" t="n">
        <v>30.021</v>
      </c>
    </row>
    <row r="130" customFormat="false" ht="15" hidden="false" customHeight="false" outlineLevel="0" collapsed="false">
      <c r="A130" s="10" t="s">
        <v>95</v>
      </c>
      <c r="B130" s="10" t="s">
        <v>52</v>
      </c>
      <c r="C130" s="10" t="s">
        <v>101</v>
      </c>
      <c r="D130" s="10" t="n">
        <v>3</v>
      </c>
      <c r="E130" s="10" t="n">
        <v>45</v>
      </c>
      <c r="F130" s="10" t="n">
        <v>0.9</v>
      </c>
      <c r="G130" s="10" t="n">
        <v>10</v>
      </c>
      <c r="H130" s="11" t="n">
        <v>7633.16</v>
      </c>
      <c r="I130" s="12" t="n">
        <v>30.028</v>
      </c>
    </row>
    <row r="131" customFormat="false" ht="15" hidden="false" customHeight="false" outlineLevel="0" collapsed="false">
      <c r="A131" s="14" t="s">
        <v>95</v>
      </c>
      <c r="B131" s="14" t="s">
        <v>52</v>
      </c>
      <c r="C131" s="14" t="s">
        <v>101</v>
      </c>
      <c r="D131" s="14" t="n">
        <v>4</v>
      </c>
      <c r="E131" s="14" t="n">
        <v>46</v>
      </c>
      <c r="F131" s="14" t="n">
        <v>0.9</v>
      </c>
      <c r="G131" s="14" t="n">
        <v>10</v>
      </c>
      <c r="H131" s="15" t="n">
        <v>7713.06</v>
      </c>
      <c r="I131" s="16" t="n">
        <v>30.029</v>
      </c>
    </row>
    <row r="132" customFormat="false" ht="15" hidden="false" customHeight="false" outlineLevel="0" collapsed="false">
      <c r="A132" s="10" t="s">
        <v>96</v>
      </c>
      <c r="B132" s="10" t="s">
        <v>52</v>
      </c>
      <c r="C132" s="10" t="s">
        <v>78</v>
      </c>
      <c r="D132" s="10" t="n">
        <v>0</v>
      </c>
      <c r="E132" s="10" t="n">
        <v>42</v>
      </c>
      <c r="F132" s="10" t="n">
        <v>0.1</v>
      </c>
      <c r="G132" s="10" t="s">
        <v>100</v>
      </c>
      <c r="H132" s="11" t="n">
        <v>7729.01</v>
      </c>
      <c r="I132" s="12" t="n">
        <v>30.378</v>
      </c>
    </row>
    <row r="133" customFormat="false" ht="15" hidden="false" customHeight="false" outlineLevel="0" collapsed="false">
      <c r="A133" s="14" t="s">
        <v>96</v>
      </c>
      <c r="B133" s="14" t="s">
        <v>52</v>
      </c>
      <c r="C133" s="14" t="s">
        <v>78</v>
      </c>
      <c r="D133" s="14" t="n">
        <v>1</v>
      </c>
      <c r="E133" s="14" t="n">
        <v>43</v>
      </c>
      <c r="F133" s="14" t="n">
        <v>0.1</v>
      </c>
      <c r="G133" s="14" t="s">
        <v>100</v>
      </c>
      <c r="H133" s="15" t="n">
        <v>7675</v>
      </c>
      <c r="I133" s="16" t="n">
        <v>30.022</v>
      </c>
    </row>
    <row r="134" customFormat="false" ht="15" hidden="false" customHeight="false" outlineLevel="0" collapsed="false">
      <c r="A134" s="10" t="s">
        <v>96</v>
      </c>
      <c r="B134" s="10" t="s">
        <v>52</v>
      </c>
      <c r="C134" s="10" t="s">
        <v>78</v>
      </c>
      <c r="D134" s="10" t="n">
        <v>2</v>
      </c>
      <c r="E134" s="10" t="n">
        <v>44</v>
      </c>
      <c r="F134" s="10" t="n">
        <v>0.1</v>
      </c>
      <c r="G134" s="10" t="s">
        <v>100</v>
      </c>
      <c r="H134" s="11" t="n">
        <v>7703.79</v>
      </c>
      <c r="I134" s="12" t="n">
        <v>30.974</v>
      </c>
    </row>
    <row r="135" customFormat="false" ht="15" hidden="false" customHeight="false" outlineLevel="0" collapsed="false">
      <c r="A135" s="14" t="s">
        <v>96</v>
      </c>
      <c r="B135" s="14" t="s">
        <v>52</v>
      </c>
      <c r="C135" s="14" t="s">
        <v>78</v>
      </c>
      <c r="D135" s="14" t="n">
        <v>3</v>
      </c>
      <c r="E135" s="14" t="n">
        <v>45</v>
      </c>
      <c r="F135" s="14" t="n">
        <v>0.1</v>
      </c>
      <c r="G135" s="14" t="s">
        <v>100</v>
      </c>
      <c r="H135" s="15" t="n">
        <v>7711.83</v>
      </c>
      <c r="I135" s="16" t="n">
        <v>30.343</v>
      </c>
    </row>
    <row r="136" customFormat="false" ht="15" hidden="false" customHeight="false" outlineLevel="0" collapsed="false">
      <c r="A136" s="10" t="s">
        <v>96</v>
      </c>
      <c r="B136" s="10" t="s">
        <v>52</v>
      </c>
      <c r="C136" s="10" t="s">
        <v>78</v>
      </c>
      <c r="D136" s="10" t="n">
        <v>4</v>
      </c>
      <c r="E136" s="10" t="n">
        <v>46</v>
      </c>
      <c r="F136" s="10" t="n">
        <v>0.1</v>
      </c>
      <c r="G136" s="10" t="s">
        <v>100</v>
      </c>
      <c r="H136" s="11" t="n">
        <v>7692.84</v>
      </c>
      <c r="I136" s="12" t="n">
        <v>30.008</v>
      </c>
    </row>
    <row r="137" customFormat="false" ht="15" hidden="false" customHeight="false" outlineLevel="0" collapsed="false">
      <c r="A137" s="14" t="s">
        <v>96</v>
      </c>
      <c r="B137" s="14" t="s">
        <v>52</v>
      </c>
      <c r="C137" s="14" t="s">
        <v>101</v>
      </c>
      <c r="D137" s="14" t="n">
        <v>0</v>
      </c>
      <c r="E137" s="14" t="n">
        <v>42</v>
      </c>
      <c r="F137" s="14" t="n">
        <v>0.9</v>
      </c>
      <c r="G137" s="14" t="n">
        <v>10</v>
      </c>
      <c r="H137" s="15" t="n">
        <v>7645.06</v>
      </c>
      <c r="I137" s="16" t="n">
        <v>30.037</v>
      </c>
    </row>
    <row r="138" customFormat="false" ht="15" hidden="false" customHeight="false" outlineLevel="0" collapsed="false">
      <c r="A138" s="10" t="s">
        <v>96</v>
      </c>
      <c r="B138" s="10" t="s">
        <v>52</v>
      </c>
      <c r="C138" s="10" t="s">
        <v>101</v>
      </c>
      <c r="D138" s="10" t="n">
        <v>1</v>
      </c>
      <c r="E138" s="10" t="n">
        <v>43</v>
      </c>
      <c r="F138" s="10" t="n">
        <v>0.9</v>
      </c>
      <c r="G138" s="10" t="n">
        <v>10</v>
      </c>
      <c r="H138" s="11" t="n">
        <v>7722.68</v>
      </c>
      <c r="I138" s="12" t="n">
        <v>30.037</v>
      </c>
    </row>
    <row r="139" customFormat="false" ht="15" hidden="false" customHeight="false" outlineLevel="0" collapsed="false">
      <c r="A139" s="14" t="s">
        <v>96</v>
      </c>
      <c r="B139" s="14" t="s">
        <v>52</v>
      </c>
      <c r="C139" s="14" t="s">
        <v>101</v>
      </c>
      <c r="D139" s="14" t="n">
        <v>2</v>
      </c>
      <c r="E139" s="14" t="n">
        <v>44</v>
      </c>
      <c r="F139" s="14" t="n">
        <v>0.9</v>
      </c>
      <c r="G139" s="14" t="n">
        <v>10</v>
      </c>
      <c r="H139" s="15" t="n">
        <v>7674.26</v>
      </c>
      <c r="I139" s="16" t="n">
        <v>30.005</v>
      </c>
    </row>
    <row r="140" customFormat="false" ht="15" hidden="false" customHeight="false" outlineLevel="0" collapsed="false">
      <c r="A140" s="10" t="s">
        <v>96</v>
      </c>
      <c r="B140" s="10" t="s">
        <v>52</v>
      </c>
      <c r="C140" s="10" t="s">
        <v>101</v>
      </c>
      <c r="D140" s="10" t="n">
        <v>3</v>
      </c>
      <c r="E140" s="10" t="n">
        <v>45</v>
      </c>
      <c r="F140" s="10" t="n">
        <v>0.9</v>
      </c>
      <c r="G140" s="10" t="n">
        <v>10</v>
      </c>
      <c r="H140" s="11" t="n">
        <v>7683.91</v>
      </c>
      <c r="I140" s="12" t="n">
        <v>30.008</v>
      </c>
    </row>
    <row r="141" customFormat="false" ht="15" hidden="false" customHeight="false" outlineLevel="0" collapsed="false">
      <c r="A141" s="14" t="s">
        <v>96</v>
      </c>
      <c r="B141" s="14" t="s">
        <v>52</v>
      </c>
      <c r="C141" s="14" t="s">
        <v>101</v>
      </c>
      <c r="D141" s="14" t="n">
        <v>4</v>
      </c>
      <c r="E141" s="14" t="n">
        <v>46</v>
      </c>
      <c r="F141" s="14" t="n">
        <v>0.9</v>
      </c>
      <c r="G141" s="14" t="n">
        <v>10</v>
      </c>
      <c r="H141" s="15" t="n">
        <v>7662.77</v>
      </c>
      <c r="I141" s="16" t="n">
        <v>30.045</v>
      </c>
    </row>
    <row r="142" customFormat="false" ht="15" hidden="false" customHeight="false" outlineLevel="0" collapsed="false">
      <c r="A142" s="10" t="s">
        <v>97</v>
      </c>
      <c r="B142" s="10" t="s">
        <v>52</v>
      </c>
      <c r="C142" s="10" t="s">
        <v>78</v>
      </c>
      <c r="D142" s="10" t="n">
        <v>0</v>
      </c>
      <c r="E142" s="10" t="n">
        <v>42</v>
      </c>
      <c r="F142" s="10" t="n">
        <v>0.1</v>
      </c>
      <c r="G142" s="10" t="s">
        <v>100</v>
      </c>
      <c r="H142" s="11" t="n">
        <v>7718.59</v>
      </c>
      <c r="I142" s="12" t="n">
        <v>30.051</v>
      </c>
    </row>
    <row r="143" customFormat="false" ht="15" hidden="false" customHeight="false" outlineLevel="0" collapsed="false">
      <c r="A143" s="14" t="s">
        <v>97</v>
      </c>
      <c r="B143" s="14" t="s">
        <v>52</v>
      </c>
      <c r="C143" s="14" t="s">
        <v>78</v>
      </c>
      <c r="D143" s="14" t="n">
        <v>1</v>
      </c>
      <c r="E143" s="14" t="n">
        <v>43</v>
      </c>
      <c r="F143" s="14" t="n">
        <v>0.1</v>
      </c>
      <c r="G143" s="14" t="s">
        <v>100</v>
      </c>
      <c r="H143" s="15" t="n">
        <v>7686.64</v>
      </c>
      <c r="I143" s="16" t="n">
        <v>30.261</v>
      </c>
    </row>
    <row r="144" customFormat="false" ht="15" hidden="false" customHeight="false" outlineLevel="0" collapsed="false">
      <c r="A144" s="10" t="s">
        <v>97</v>
      </c>
      <c r="B144" s="10" t="s">
        <v>52</v>
      </c>
      <c r="C144" s="10" t="s">
        <v>78</v>
      </c>
      <c r="D144" s="10" t="n">
        <v>2</v>
      </c>
      <c r="E144" s="10" t="n">
        <v>44</v>
      </c>
      <c r="F144" s="10" t="n">
        <v>0.1</v>
      </c>
      <c r="G144" s="10" t="s">
        <v>100</v>
      </c>
      <c r="H144" s="11" t="n">
        <v>7680.04</v>
      </c>
      <c r="I144" s="12" t="n">
        <v>30.077</v>
      </c>
    </row>
    <row r="145" customFormat="false" ht="15" hidden="false" customHeight="false" outlineLevel="0" collapsed="false">
      <c r="A145" s="14" t="s">
        <v>97</v>
      </c>
      <c r="B145" s="14" t="s">
        <v>52</v>
      </c>
      <c r="C145" s="14" t="s">
        <v>78</v>
      </c>
      <c r="D145" s="14" t="n">
        <v>3</v>
      </c>
      <c r="E145" s="14" t="n">
        <v>45</v>
      </c>
      <c r="F145" s="14" t="n">
        <v>0.1</v>
      </c>
      <c r="G145" s="14" t="s">
        <v>100</v>
      </c>
      <c r="H145" s="15" t="n">
        <v>7672.84</v>
      </c>
      <c r="I145" s="16" t="n">
        <v>31.145</v>
      </c>
    </row>
    <row r="146" customFormat="false" ht="15" hidden="false" customHeight="false" outlineLevel="0" collapsed="false">
      <c r="A146" s="10" t="s">
        <v>97</v>
      </c>
      <c r="B146" s="10" t="s">
        <v>52</v>
      </c>
      <c r="C146" s="10" t="s">
        <v>78</v>
      </c>
      <c r="D146" s="10" t="n">
        <v>4</v>
      </c>
      <c r="E146" s="10" t="n">
        <v>46</v>
      </c>
      <c r="F146" s="10" t="n">
        <v>0.1</v>
      </c>
      <c r="G146" s="10" t="s">
        <v>100</v>
      </c>
      <c r="H146" s="11" t="n">
        <v>7681.94</v>
      </c>
      <c r="I146" s="12" t="n">
        <v>30.528</v>
      </c>
    </row>
    <row r="147" customFormat="false" ht="15" hidden="false" customHeight="false" outlineLevel="0" collapsed="false">
      <c r="A147" s="14" t="s">
        <v>97</v>
      </c>
      <c r="B147" s="14" t="s">
        <v>52</v>
      </c>
      <c r="C147" s="14" t="s">
        <v>101</v>
      </c>
      <c r="D147" s="14" t="n">
        <v>0</v>
      </c>
      <c r="E147" s="14" t="n">
        <v>42</v>
      </c>
      <c r="F147" s="14" t="n">
        <v>0.9</v>
      </c>
      <c r="G147" s="14" t="n">
        <v>10</v>
      </c>
      <c r="H147" s="15" t="n">
        <v>7676.7</v>
      </c>
      <c r="I147" s="16" t="n">
        <v>30.03</v>
      </c>
    </row>
    <row r="148" customFormat="false" ht="15" hidden="false" customHeight="false" outlineLevel="0" collapsed="false">
      <c r="A148" s="10" t="s">
        <v>97</v>
      </c>
      <c r="B148" s="10" t="s">
        <v>52</v>
      </c>
      <c r="C148" s="10" t="s">
        <v>101</v>
      </c>
      <c r="D148" s="10" t="n">
        <v>1</v>
      </c>
      <c r="E148" s="10" t="n">
        <v>43</v>
      </c>
      <c r="F148" s="10" t="n">
        <v>0.9</v>
      </c>
      <c r="G148" s="10" t="n">
        <v>10</v>
      </c>
      <c r="H148" s="11" t="n">
        <v>7645.63</v>
      </c>
      <c r="I148" s="12" t="n">
        <v>30.026</v>
      </c>
    </row>
    <row r="149" customFormat="false" ht="15" hidden="false" customHeight="false" outlineLevel="0" collapsed="false">
      <c r="A149" s="14" t="s">
        <v>97</v>
      </c>
      <c r="B149" s="14" t="s">
        <v>52</v>
      </c>
      <c r="C149" s="14" t="s">
        <v>101</v>
      </c>
      <c r="D149" s="14" t="n">
        <v>2</v>
      </c>
      <c r="E149" s="14" t="n">
        <v>44</v>
      </c>
      <c r="F149" s="14" t="n">
        <v>0.9</v>
      </c>
      <c r="G149" s="14" t="n">
        <v>10</v>
      </c>
      <c r="H149" s="15" t="n">
        <v>7686.17</v>
      </c>
      <c r="I149" s="16" t="n">
        <v>30.016</v>
      </c>
    </row>
    <row r="150" customFormat="false" ht="15" hidden="false" customHeight="false" outlineLevel="0" collapsed="false">
      <c r="A150" s="10" t="s">
        <v>97</v>
      </c>
      <c r="B150" s="10" t="s">
        <v>52</v>
      </c>
      <c r="C150" s="10" t="s">
        <v>101</v>
      </c>
      <c r="D150" s="10" t="n">
        <v>3</v>
      </c>
      <c r="E150" s="10" t="n">
        <v>45</v>
      </c>
      <c r="F150" s="10" t="n">
        <v>0.9</v>
      </c>
      <c r="G150" s="10" t="n">
        <v>10</v>
      </c>
      <c r="H150" s="11" t="n">
        <v>7677.12</v>
      </c>
      <c r="I150" s="12" t="n">
        <v>30.03</v>
      </c>
    </row>
    <row r="151" customFormat="false" ht="15" hidden="false" customHeight="false" outlineLevel="0" collapsed="false">
      <c r="A151" s="14" t="s">
        <v>97</v>
      </c>
      <c r="B151" s="14" t="s">
        <v>52</v>
      </c>
      <c r="C151" s="14" t="s">
        <v>101</v>
      </c>
      <c r="D151" s="14" t="n">
        <v>4</v>
      </c>
      <c r="E151" s="14" t="n">
        <v>46</v>
      </c>
      <c r="F151" s="14" t="n">
        <v>0.9</v>
      </c>
      <c r="G151" s="14" t="n">
        <v>10</v>
      </c>
      <c r="H151" s="15" t="n">
        <v>7605.82</v>
      </c>
      <c r="I151" s="16" t="n">
        <v>30.024</v>
      </c>
    </row>
    <row r="153" customFormat="false" ht="15" hidden="false" customHeight="true" outlineLevel="0" collapsed="false">
      <c r="A153" s="18" t="s">
        <v>102</v>
      </c>
      <c r="B153" s="18"/>
      <c r="C153" s="18"/>
      <c r="D153" s="18"/>
      <c r="E153" s="18"/>
      <c r="F153" s="18"/>
      <c r="G153" s="18"/>
    </row>
    <row r="154" customFormat="false" ht="15" hidden="false" customHeight="true" outlineLevel="0" collapsed="false">
      <c r="A154" s="22" t="s">
        <v>39</v>
      </c>
      <c r="B154" s="22"/>
      <c r="C154" s="22"/>
      <c r="D154" s="22"/>
      <c r="E154" s="22"/>
      <c r="F154" s="22"/>
      <c r="G154" s="22"/>
      <c r="H154" s="11" t="n">
        <f aca="false">AVERAGEIF(C2:C151,"GRASP",H2:H151)</f>
        <v>4770.49933333333</v>
      </c>
      <c r="I154" s="11" t="n">
        <f aca="false">AVERAGEIF(C2:C151,"GRASP+TS",H2:H151)</f>
        <v>4755.42306666667</v>
      </c>
    </row>
    <row r="155" customFormat="false" ht="15" hidden="false" customHeight="true" outlineLevel="0" collapsed="false">
      <c r="A155" s="22" t="s">
        <v>40</v>
      </c>
      <c r="B155" s="22"/>
      <c r="C155" s="22"/>
      <c r="D155" s="22"/>
      <c r="E155" s="22"/>
      <c r="F155" s="22"/>
      <c r="G155" s="22"/>
      <c r="H155" s="15" t="n">
        <v>7757.5</v>
      </c>
      <c r="I155" s="15" t="n">
        <v>7785.3</v>
      </c>
    </row>
    <row r="156" customFormat="false" ht="15" hidden="false" customHeight="true" outlineLevel="0" collapsed="false">
      <c r="A156" s="22" t="s">
        <v>41</v>
      </c>
      <c r="B156" s="22"/>
      <c r="C156" s="22"/>
      <c r="D156" s="22"/>
      <c r="E156" s="22"/>
      <c r="F156" s="22"/>
      <c r="G156" s="22"/>
      <c r="H156" s="11" t="n">
        <v>349.31</v>
      </c>
      <c r="I156" s="11" t="n">
        <v>349.31</v>
      </c>
    </row>
  </sheetData>
  <mergeCells count="4">
    <mergeCell ref="A153:G153"/>
    <mergeCell ref="A154:G154"/>
    <mergeCell ref="A155:G155"/>
    <mergeCell ref="A156:G1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4"/>
    <col collapsed="false" customWidth="true" hidden="false" outlineLevel="0" max="5" min="4" style="0" width="12"/>
    <col collapsed="false" customWidth="true" hidden="false" outlineLevel="0" max="6" min="6" style="0" width="14"/>
    <col collapsed="false" customWidth="true" hidden="false" outlineLevel="0" max="8" min="7" style="0" width="16"/>
    <col collapsed="false" customWidth="true" hidden="false" outlineLevel="0" max="9" min="9" style="0" width="40"/>
  </cols>
  <sheetData>
    <row r="1" customFormat="false" ht="27.75" hidden="false" customHeight="true" outlineLevel="0" collapsed="false">
      <c r="A1" s="48" t="s">
        <v>103</v>
      </c>
      <c r="B1" s="48"/>
      <c r="C1" s="48"/>
      <c r="D1" s="48"/>
      <c r="E1" s="48"/>
      <c r="F1" s="48"/>
      <c r="G1" s="48"/>
      <c r="H1" s="48"/>
      <c r="I1" s="48"/>
    </row>
    <row r="3" customFormat="false" ht="21.75" hidden="false" customHeight="true" outlineLevel="0" collapsed="false">
      <c r="A3" s="49" t="s">
        <v>104</v>
      </c>
      <c r="B3" s="49"/>
      <c r="C3" s="49"/>
      <c r="D3" s="49"/>
      <c r="E3" s="49"/>
      <c r="F3" s="49"/>
      <c r="G3" s="49"/>
      <c r="H3" s="49"/>
      <c r="I3" s="49"/>
    </row>
    <row r="4" customFormat="false" ht="23.85" hidden="false" customHeight="false" outlineLevel="0" collapsed="false">
      <c r="A4" s="9" t="s">
        <v>36</v>
      </c>
      <c r="B4" s="9" t="s">
        <v>105</v>
      </c>
      <c r="C4" s="9" t="s">
        <v>106</v>
      </c>
      <c r="D4" s="9" t="s">
        <v>107</v>
      </c>
      <c r="E4" s="9" t="s">
        <v>108</v>
      </c>
      <c r="F4" s="9" t="s">
        <v>109</v>
      </c>
      <c r="G4" s="9" t="s">
        <v>110</v>
      </c>
      <c r="H4" s="9" t="s">
        <v>111</v>
      </c>
      <c r="I4" s="9" t="s">
        <v>34</v>
      </c>
    </row>
    <row r="5" customFormat="false" ht="23.85" hidden="false" customHeight="false" outlineLevel="0" collapsed="false">
      <c r="A5" s="50" t="s">
        <v>112</v>
      </c>
      <c r="B5" s="14" t="n">
        <v>75</v>
      </c>
      <c r="C5" s="14" t="n">
        <v>30</v>
      </c>
      <c r="D5" s="14" t="n">
        <v>15</v>
      </c>
      <c r="E5" s="14" t="n">
        <v>30</v>
      </c>
      <c r="F5" s="51" t="n">
        <v>-15.0763</v>
      </c>
      <c r="G5" s="14" t="n">
        <v>256</v>
      </c>
      <c r="H5" s="52" t="n">
        <v>0.002628</v>
      </c>
      <c r="I5" s="53" t="s">
        <v>113</v>
      </c>
    </row>
    <row r="6" customFormat="false" ht="23.85" hidden="false" customHeight="false" outlineLevel="0" collapsed="false">
      <c r="A6" s="54" t="s">
        <v>114</v>
      </c>
      <c r="B6" s="10" t="n">
        <v>30</v>
      </c>
      <c r="C6" s="10" t="n">
        <v>0</v>
      </c>
      <c r="D6" s="10" t="n">
        <v>0</v>
      </c>
      <c r="E6" s="10" t="n">
        <v>30</v>
      </c>
      <c r="F6" s="55" t="n">
        <v>0</v>
      </c>
      <c r="G6" s="10" t="s">
        <v>100</v>
      </c>
      <c r="H6" s="10" t="s">
        <v>100</v>
      </c>
      <c r="I6" s="56" t="s">
        <v>115</v>
      </c>
    </row>
    <row r="7" customFormat="false" ht="23.85" hidden="false" customHeight="false" outlineLevel="0" collapsed="false">
      <c r="A7" s="50" t="s">
        <v>116</v>
      </c>
      <c r="B7" s="14" t="n">
        <v>45</v>
      </c>
      <c r="C7" s="14" t="n">
        <v>30</v>
      </c>
      <c r="D7" s="14" t="n">
        <v>15</v>
      </c>
      <c r="E7" s="14" t="n">
        <v>0</v>
      </c>
      <c r="F7" s="51" t="n">
        <v>-25.1271</v>
      </c>
      <c r="G7" s="14" t="n">
        <v>256</v>
      </c>
      <c r="H7" s="52" t="n">
        <v>0.002628</v>
      </c>
      <c r="I7" s="53" t="s">
        <v>113</v>
      </c>
    </row>
    <row r="9" customFormat="false" ht="21.75" hidden="false" customHeight="true" outlineLevel="0" collapsed="false">
      <c r="A9" s="25" t="s">
        <v>117</v>
      </c>
      <c r="B9" s="25"/>
      <c r="C9" s="25"/>
      <c r="D9" s="25"/>
      <c r="E9" s="25"/>
      <c r="F9" s="25"/>
      <c r="G9" s="25"/>
      <c r="H9" s="25"/>
      <c r="I9" s="25"/>
    </row>
    <row r="10" customFormat="false" ht="23.85" hidden="false" customHeight="false" outlineLevel="0" collapsed="false">
      <c r="A10" s="31" t="s">
        <v>37</v>
      </c>
      <c r="B10" s="31" t="s">
        <v>36</v>
      </c>
      <c r="C10" s="31" t="s">
        <v>118</v>
      </c>
      <c r="D10" s="31" t="s">
        <v>119</v>
      </c>
      <c r="E10" s="31" t="s">
        <v>120</v>
      </c>
      <c r="F10" s="31" t="s">
        <v>121</v>
      </c>
      <c r="G10" s="31" t="s">
        <v>122</v>
      </c>
      <c r="H10" s="31" t="s">
        <v>123</v>
      </c>
      <c r="I10" s="31" t="s">
        <v>124</v>
      </c>
    </row>
    <row r="11" customFormat="false" ht="15" hidden="false" customHeight="false" outlineLevel="0" collapsed="false">
      <c r="A11" s="14" t="s">
        <v>46</v>
      </c>
      <c r="B11" s="14" t="s">
        <v>45</v>
      </c>
      <c r="C11" s="15" t="n">
        <v>360.15</v>
      </c>
      <c r="D11" s="15" t="n">
        <v>360.15</v>
      </c>
      <c r="E11" s="15" t="n">
        <v>360.15</v>
      </c>
      <c r="F11" s="35" t="n">
        <v>0</v>
      </c>
      <c r="G11" s="34" t="s">
        <v>125</v>
      </c>
      <c r="H11" s="34" t="s">
        <v>125</v>
      </c>
      <c r="I11" s="56" t="s">
        <v>126</v>
      </c>
    </row>
    <row r="12" customFormat="false" ht="15" hidden="false" customHeight="false" outlineLevel="0" collapsed="false">
      <c r="A12" s="10" t="s">
        <v>47</v>
      </c>
      <c r="B12" s="10" t="s">
        <v>45</v>
      </c>
      <c r="C12" s="11" t="n">
        <v>355.72</v>
      </c>
      <c r="D12" s="11" t="n">
        <v>355.72</v>
      </c>
      <c r="E12" s="11" t="n">
        <v>355.72</v>
      </c>
      <c r="F12" s="35" t="n">
        <v>0</v>
      </c>
      <c r="G12" s="34" t="s">
        <v>125</v>
      </c>
      <c r="H12" s="34" t="s">
        <v>125</v>
      </c>
      <c r="I12" s="56" t="s">
        <v>126</v>
      </c>
    </row>
    <row r="13" customFormat="false" ht="15" hidden="false" customHeight="false" outlineLevel="0" collapsed="false">
      <c r="A13" s="14" t="s">
        <v>48</v>
      </c>
      <c r="B13" s="14" t="s">
        <v>45</v>
      </c>
      <c r="C13" s="15" t="n">
        <v>355.5</v>
      </c>
      <c r="D13" s="15" t="n">
        <v>355.5</v>
      </c>
      <c r="E13" s="15" t="n">
        <v>355.5</v>
      </c>
      <c r="F13" s="35" t="n">
        <v>0</v>
      </c>
      <c r="G13" s="34" t="s">
        <v>125</v>
      </c>
      <c r="H13" s="34" t="s">
        <v>125</v>
      </c>
      <c r="I13" s="56" t="s">
        <v>126</v>
      </c>
    </row>
    <row r="14" customFormat="false" ht="15" hidden="false" customHeight="false" outlineLevel="0" collapsed="false">
      <c r="A14" s="10" t="s">
        <v>49</v>
      </c>
      <c r="B14" s="10" t="s">
        <v>45</v>
      </c>
      <c r="C14" s="11" t="n">
        <v>354.25</v>
      </c>
      <c r="D14" s="11" t="n">
        <v>354.25</v>
      </c>
      <c r="E14" s="11" t="n">
        <v>354.25</v>
      </c>
      <c r="F14" s="35" t="n">
        <v>0</v>
      </c>
      <c r="G14" s="34" t="s">
        <v>125</v>
      </c>
      <c r="H14" s="34" t="s">
        <v>125</v>
      </c>
      <c r="I14" s="56" t="s">
        <v>126</v>
      </c>
    </row>
    <row r="15" customFormat="false" ht="15" hidden="false" customHeight="false" outlineLevel="0" collapsed="false">
      <c r="A15" s="14" t="s">
        <v>50</v>
      </c>
      <c r="B15" s="14" t="s">
        <v>45</v>
      </c>
      <c r="C15" s="15" t="n">
        <v>356.06</v>
      </c>
      <c r="D15" s="15" t="n">
        <v>356.06</v>
      </c>
      <c r="E15" s="15" t="n">
        <v>356.06</v>
      </c>
      <c r="F15" s="35" t="n">
        <v>0</v>
      </c>
      <c r="G15" s="34" t="s">
        <v>125</v>
      </c>
      <c r="H15" s="34" t="s">
        <v>125</v>
      </c>
      <c r="I15" s="56" t="s">
        <v>126</v>
      </c>
    </row>
    <row r="16" customFormat="false" ht="15" hidden="false" customHeight="false" outlineLevel="0" collapsed="false">
      <c r="A16" s="10" t="s">
        <v>93</v>
      </c>
      <c r="B16" s="10" t="s">
        <v>45</v>
      </c>
      <c r="C16" s="11" t="n">
        <v>349.31</v>
      </c>
      <c r="D16" s="11" t="n">
        <v>349.31</v>
      </c>
      <c r="E16" s="11" t="n">
        <v>349.31</v>
      </c>
      <c r="F16" s="35" t="n">
        <v>0</v>
      </c>
      <c r="G16" s="34" t="s">
        <v>125</v>
      </c>
      <c r="H16" s="34" t="s">
        <v>125</v>
      </c>
      <c r="I16" s="56" t="s">
        <v>126</v>
      </c>
    </row>
    <row r="17" customFormat="false" ht="15" hidden="false" customHeight="false" outlineLevel="0" collapsed="false">
      <c r="A17" s="14" t="s">
        <v>53</v>
      </c>
      <c r="B17" s="14" t="s">
        <v>52</v>
      </c>
      <c r="C17" s="15" t="n">
        <v>7756.24</v>
      </c>
      <c r="D17" s="15" t="n">
        <v>7722.22</v>
      </c>
      <c r="E17" s="15" t="n">
        <v>7756.24</v>
      </c>
      <c r="F17" s="39" t="n">
        <v>34.0199999999995</v>
      </c>
      <c r="G17" s="14" t="s">
        <v>127</v>
      </c>
      <c r="H17" s="34" t="s">
        <v>125</v>
      </c>
      <c r="I17" s="57" t="s">
        <v>128</v>
      </c>
    </row>
    <row r="18" customFormat="false" ht="15" hidden="false" customHeight="false" outlineLevel="0" collapsed="false">
      <c r="A18" s="10" t="s">
        <v>54</v>
      </c>
      <c r="B18" s="10" t="s">
        <v>52</v>
      </c>
      <c r="C18" s="11" t="n">
        <v>7755.23</v>
      </c>
      <c r="D18" s="11" t="n">
        <v>7746</v>
      </c>
      <c r="E18" s="11" t="n">
        <v>7755.23</v>
      </c>
      <c r="F18" s="39" t="n">
        <v>9.22999999999956</v>
      </c>
      <c r="G18" s="10" t="s">
        <v>127</v>
      </c>
      <c r="H18" s="34" t="s">
        <v>125</v>
      </c>
      <c r="I18" s="57" t="s">
        <v>128</v>
      </c>
    </row>
    <row r="19" customFormat="false" ht="15" hidden="false" customHeight="false" outlineLevel="0" collapsed="false">
      <c r="A19" s="14" t="s">
        <v>55</v>
      </c>
      <c r="B19" s="14" t="s">
        <v>52</v>
      </c>
      <c r="C19" s="15" t="n">
        <v>7752.31</v>
      </c>
      <c r="D19" s="15" t="n">
        <v>7752.31</v>
      </c>
      <c r="E19" s="15" t="n">
        <v>7726.58</v>
      </c>
      <c r="F19" s="41" t="n">
        <v>-25.7300000000005</v>
      </c>
      <c r="G19" s="34" t="s">
        <v>125</v>
      </c>
      <c r="H19" s="14" t="s">
        <v>127</v>
      </c>
      <c r="I19" s="53" t="s">
        <v>129</v>
      </c>
    </row>
    <row r="20" customFormat="false" ht="15" hidden="false" customHeight="false" outlineLevel="0" collapsed="false">
      <c r="A20" s="10" t="s">
        <v>56</v>
      </c>
      <c r="B20" s="10" t="s">
        <v>52</v>
      </c>
      <c r="C20" s="11" t="n">
        <v>7755.2</v>
      </c>
      <c r="D20" s="11" t="n">
        <v>7749.4</v>
      </c>
      <c r="E20" s="11" t="n">
        <v>7755.2</v>
      </c>
      <c r="F20" s="39" t="n">
        <v>5.80000000000018</v>
      </c>
      <c r="G20" s="10" t="s">
        <v>127</v>
      </c>
      <c r="H20" s="34" t="s">
        <v>125</v>
      </c>
      <c r="I20" s="57" t="s">
        <v>128</v>
      </c>
    </row>
    <row r="21" customFormat="false" ht="15" hidden="false" customHeight="false" outlineLevel="0" collapsed="false">
      <c r="A21" s="14" t="s">
        <v>57</v>
      </c>
      <c r="B21" s="14" t="s">
        <v>52</v>
      </c>
      <c r="C21" s="15" t="n">
        <v>7780.22</v>
      </c>
      <c r="D21" s="15" t="n">
        <v>7748.34</v>
      </c>
      <c r="E21" s="15" t="n">
        <v>7780.22</v>
      </c>
      <c r="F21" s="39" t="n">
        <v>31.8800000000001</v>
      </c>
      <c r="G21" s="14" t="s">
        <v>127</v>
      </c>
      <c r="H21" s="34" t="s">
        <v>125</v>
      </c>
      <c r="I21" s="57" t="s">
        <v>128</v>
      </c>
    </row>
    <row r="22" customFormat="false" ht="15" hidden="false" customHeight="false" outlineLevel="0" collapsed="false">
      <c r="A22" s="10" t="s">
        <v>94</v>
      </c>
      <c r="B22" s="10" t="s">
        <v>52</v>
      </c>
      <c r="C22" s="11" t="n">
        <v>7757.5</v>
      </c>
      <c r="D22" s="11" t="n">
        <v>7757.5</v>
      </c>
      <c r="E22" s="11" t="n">
        <v>7728.4</v>
      </c>
      <c r="F22" s="41" t="n">
        <v>-29.1000000000004</v>
      </c>
      <c r="G22" s="34" t="s">
        <v>125</v>
      </c>
      <c r="H22" s="10" t="s">
        <v>127</v>
      </c>
      <c r="I22" s="53" t="s">
        <v>129</v>
      </c>
    </row>
    <row r="23" customFormat="false" ht="15" hidden="false" customHeight="false" outlineLevel="0" collapsed="false">
      <c r="A23" s="14" t="s">
        <v>95</v>
      </c>
      <c r="B23" s="14" t="s">
        <v>52</v>
      </c>
      <c r="C23" s="15" t="n">
        <v>7785.3</v>
      </c>
      <c r="D23" s="15" t="n">
        <v>7756.16</v>
      </c>
      <c r="E23" s="15" t="n">
        <v>7785.3</v>
      </c>
      <c r="F23" s="39" t="n">
        <v>29.1400000000003</v>
      </c>
      <c r="G23" s="14" t="s">
        <v>127</v>
      </c>
      <c r="H23" s="34" t="s">
        <v>125</v>
      </c>
      <c r="I23" s="57" t="s">
        <v>128</v>
      </c>
    </row>
    <row r="24" customFormat="false" ht="15" hidden="false" customHeight="false" outlineLevel="0" collapsed="false">
      <c r="A24" s="10" t="s">
        <v>96</v>
      </c>
      <c r="B24" s="10" t="s">
        <v>52</v>
      </c>
      <c r="C24" s="11" t="n">
        <v>7729.01</v>
      </c>
      <c r="D24" s="11" t="n">
        <v>7729.01</v>
      </c>
      <c r="E24" s="11" t="n">
        <v>7722.68</v>
      </c>
      <c r="F24" s="41" t="n">
        <v>-6.32999999999993</v>
      </c>
      <c r="G24" s="34" t="s">
        <v>125</v>
      </c>
      <c r="H24" s="10" t="s">
        <v>127</v>
      </c>
      <c r="I24" s="53" t="s">
        <v>129</v>
      </c>
    </row>
    <row r="25" customFormat="false" ht="15" hidden="false" customHeight="false" outlineLevel="0" collapsed="false">
      <c r="A25" s="14" t="s">
        <v>97</v>
      </c>
      <c r="B25" s="14" t="s">
        <v>52</v>
      </c>
      <c r="C25" s="15" t="n">
        <v>7718.59</v>
      </c>
      <c r="D25" s="15" t="n">
        <v>7718.59</v>
      </c>
      <c r="E25" s="15" t="n">
        <v>7686.17</v>
      </c>
      <c r="F25" s="41" t="n">
        <v>-32.4200000000001</v>
      </c>
      <c r="G25" s="34" t="s">
        <v>125</v>
      </c>
      <c r="H25" s="14" t="s">
        <v>127</v>
      </c>
      <c r="I25" s="53" t="s">
        <v>129</v>
      </c>
    </row>
    <row r="26" customFormat="false" ht="15" hidden="false" customHeight="true" outlineLevel="0" collapsed="false">
      <c r="A26" s="18" t="s">
        <v>130</v>
      </c>
      <c r="B26" s="18"/>
      <c r="C26" s="18"/>
      <c r="D26" s="58" t="n">
        <f aca="false">MAX(D11:D25)</f>
        <v>7757.5</v>
      </c>
      <c r="E26" s="58" t="n">
        <f aca="false">MAX(E11:E25)</f>
        <v>7785.3</v>
      </c>
      <c r="F26" s="59" t="n">
        <f aca="false">AVERAGE(F11:F25)</f>
        <v>1.09933333333326</v>
      </c>
      <c r="G26" s="60" t="n">
        <f aca="false">COUNTIF(G11:G25,"Sí ✓")</f>
        <v>10</v>
      </c>
      <c r="H26" s="60" t="n">
        <f aca="false">COUNTIF(H11:H25,"Sí ✓")</f>
        <v>11</v>
      </c>
    </row>
    <row r="28" customFormat="false" ht="15" hidden="false" customHeight="true" outlineLevel="0" collapsed="false">
      <c r="A28" s="2" t="s">
        <v>131</v>
      </c>
      <c r="B28" s="2"/>
      <c r="C28" s="2"/>
      <c r="D28" s="2"/>
      <c r="E28" s="2"/>
      <c r="F28" s="2"/>
      <c r="G28" s="2"/>
      <c r="H28" s="2"/>
      <c r="I28" s="2"/>
    </row>
    <row r="29" customFormat="false" ht="39.75" hidden="false" customHeight="true" outlineLevel="0" collapsed="false">
      <c r="A29" s="61" t="s">
        <v>132</v>
      </c>
      <c r="B29" s="61"/>
      <c r="C29" s="61"/>
      <c r="D29" s="61"/>
      <c r="E29" s="61"/>
      <c r="F29" s="61"/>
      <c r="G29" s="61"/>
      <c r="H29" s="61"/>
      <c r="I29" s="61"/>
    </row>
    <row r="30" customFormat="false" ht="39.75" hidden="false" customHeight="true" outlineLevel="0" collapsed="false">
      <c r="A30" s="62" t="s">
        <v>133</v>
      </c>
      <c r="B30" s="62"/>
      <c r="C30" s="62"/>
      <c r="D30" s="62"/>
      <c r="E30" s="62"/>
      <c r="F30" s="62"/>
      <c r="G30" s="62"/>
      <c r="H30" s="62"/>
      <c r="I30" s="62"/>
    </row>
    <row r="31" customFormat="false" ht="39.75" hidden="false" customHeight="true" outlineLevel="0" collapsed="false">
      <c r="A31" s="61" t="s">
        <v>134</v>
      </c>
      <c r="B31" s="61"/>
      <c r="C31" s="61"/>
      <c r="D31" s="61"/>
      <c r="E31" s="61"/>
      <c r="F31" s="61"/>
      <c r="G31" s="61"/>
      <c r="H31" s="61"/>
      <c r="I31" s="61"/>
    </row>
    <row r="32" customFormat="false" ht="39.75" hidden="false" customHeight="true" outlineLevel="0" collapsed="false">
      <c r="A32" s="62" t="s">
        <v>135</v>
      </c>
      <c r="B32" s="62"/>
      <c r="C32" s="62"/>
      <c r="D32" s="62"/>
      <c r="E32" s="62"/>
      <c r="F32" s="62"/>
      <c r="G32" s="62"/>
      <c r="H32" s="62"/>
      <c r="I32" s="62"/>
    </row>
  </sheetData>
  <mergeCells count="9">
    <mergeCell ref="A1:I1"/>
    <mergeCell ref="A3:I3"/>
    <mergeCell ref="A9:I9"/>
    <mergeCell ref="A26:C26"/>
    <mergeCell ref="A28:I28"/>
    <mergeCell ref="A29:I29"/>
    <mergeCell ref="A30:I30"/>
    <mergeCell ref="A31:I31"/>
    <mergeCell ref="A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2026-04-07T18:30:12Z</dcterms:created>
  <dc:creator>openpyxl</dc:creator>
  <dc:description/>
  <dc:language>en-US</dc:language>
  <cp:lastModifiedBy/>
  <dcterms:modified xsi:type="dcterms:W3CDTF">2026-04-07T18:30:12Z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