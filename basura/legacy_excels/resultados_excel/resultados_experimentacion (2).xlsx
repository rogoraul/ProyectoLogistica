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arlo\Desktop\UNIVERSIDAD\4 CURSO\CUATRI 2\Logística Basada en Datos (LBD)\Proyecto_Github\ProyectoLogistica\resultados_excel\"/>
    </mc:Choice>
  </mc:AlternateContent>
  <xr:revisionPtr revIDLastSave="0" documentId="13_ncr:1_{673222FA-1123-449C-8A9D-BB6AAA1B3C1F}" xr6:coauthVersionLast="47" xr6:coauthVersionMax="47" xr10:uidLastSave="{00000000-0000-0000-0000-000000000000}"/>
  <bookViews>
    <workbookView xWindow="-135" yWindow="-135" windowWidth="29070" windowHeight="15750" tabRatio="500" activeTab="5" xr2:uid="{00000000-000D-0000-FFFF-FFFF00000000}"/>
  </bookViews>
  <sheets>
    <sheet name="0_Resumen" sheetId="1" r:id="rId1"/>
    <sheet name="1_Calibracion_GRASP" sheetId="2" r:id="rId2"/>
    <sheet name="2_Calib_GRASP_Runs" sheetId="3" r:id="rId3"/>
    <sheet name="3_Calibracion_GRASP+TS" sheetId="4" r:id="rId4"/>
    <sheet name="4_Calib_GRASP+TS_Runs" sheetId="5" r:id="rId5"/>
    <sheet name="5_Comparacion" sheetId="6" r:id="rId6"/>
    <sheet name="6_Comparacion_Runs" sheetId="7" r:id="rId7"/>
    <sheet name="7_Tests_Estadistico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6" i="8" l="1"/>
  <c r="G26" i="8"/>
  <c r="F26" i="8"/>
  <c r="E26" i="8"/>
  <c r="D26" i="8"/>
  <c r="F22" i="6"/>
  <c r="E22" i="6"/>
  <c r="D22" i="6"/>
  <c r="C22" i="6"/>
  <c r="K21" i="6"/>
  <c r="J21" i="6"/>
  <c r="I21" i="6"/>
  <c r="L21" i="6" s="1"/>
  <c r="H21" i="6"/>
  <c r="G21" i="6"/>
  <c r="K20" i="6"/>
  <c r="J20" i="6"/>
  <c r="I20" i="6"/>
  <c r="L20" i="6" s="1"/>
  <c r="H20" i="6"/>
  <c r="G20" i="6"/>
  <c r="J19" i="6"/>
  <c r="I19" i="6"/>
  <c r="L19" i="6" s="1"/>
  <c r="H19" i="6"/>
  <c r="G19" i="6"/>
  <c r="K19" i="6" s="1"/>
  <c r="L18" i="6"/>
  <c r="J18" i="6"/>
  <c r="I18" i="6"/>
  <c r="H18" i="6"/>
  <c r="G18" i="6"/>
  <c r="K18" i="6" s="1"/>
  <c r="K17" i="6"/>
  <c r="J17" i="6"/>
  <c r="I17" i="6"/>
  <c r="L17" i="6" s="1"/>
  <c r="H17" i="6"/>
  <c r="G17" i="6"/>
  <c r="K16" i="6"/>
  <c r="J16" i="6"/>
  <c r="I16" i="6"/>
  <c r="L16" i="6" s="1"/>
  <c r="H16" i="6"/>
  <c r="G16" i="6"/>
  <c r="J15" i="6"/>
  <c r="I15" i="6"/>
  <c r="L15" i="6" s="1"/>
  <c r="H15" i="6"/>
  <c r="G15" i="6"/>
  <c r="K15" i="6" s="1"/>
  <c r="L14" i="6"/>
  <c r="J14" i="6"/>
  <c r="I14" i="6"/>
  <c r="H14" i="6"/>
  <c r="H22" i="6" s="1"/>
  <c r="G14" i="6"/>
  <c r="G22" i="6" s="1"/>
  <c r="K13" i="6"/>
  <c r="J13" i="6"/>
  <c r="J22" i="6" s="1"/>
  <c r="I13" i="6"/>
  <c r="L13" i="6" s="1"/>
  <c r="H13" i="6"/>
  <c r="G13" i="6"/>
  <c r="F10" i="6"/>
  <c r="E10" i="6"/>
  <c r="D10" i="6"/>
  <c r="C10" i="6"/>
  <c r="K9" i="6"/>
  <c r="J9" i="6"/>
  <c r="I9" i="6"/>
  <c r="L9" i="6" s="1"/>
  <c r="H9" i="6"/>
  <c r="G9" i="6"/>
  <c r="J8" i="6"/>
  <c r="I8" i="6"/>
  <c r="L8" i="6" s="1"/>
  <c r="H8" i="6"/>
  <c r="G8" i="6"/>
  <c r="K8" i="6" s="1"/>
  <c r="L7" i="6"/>
  <c r="J7" i="6"/>
  <c r="I7" i="6"/>
  <c r="H7" i="6"/>
  <c r="G7" i="6"/>
  <c r="K7" i="6" s="1"/>
  <c r="K6" i="6"/>
  <c r="J6" i="6"/>
  <c r="I6" i="6"/>
  <c r="L6" i="6" s="1"/>
  <c r="H6" i="6"/>
  <c r="G6" i="6"/>
  <c r="K5" i="6"/>
  <c r="J5" i="6"/>
  <c r="I5" i="6"/>
  <c r="L5" i="6" s="1"/>
  <c r="H5" i="6"/>
  <c r="G5" i="6"/>
  <c r="J4" i="6"/>
  <c r="J10" i="6" s="1"/>
  <c r="I4" i="6"/>
  <c r="I10" i="6" s="1"/>
  <c r="H4" i="6"/>
  <c r="H10" i="6" s="1"/>
  <c r="G4" i="6"/>
  <c r="K4" i="6" s="1"/>
  <c r="G10" i="6" l="1"/>
  <c r="I22" i="6"/>
  <c r="L4" i="6"/>
  <c r="K14" i="6"/>
</calcChain>
</file>

<file path=xl/sharedStrings.xml><?xml version="1.0" encoding="utf-8"?>
<sst xmlns="http://schemas.openxmlformats.org/spreadsheetml/2006/main" count="2756" uniqueCount="121">
  <si>
    <t>RESUMEN EJECUTIVO – GRASP vs GRASP + Búsqueda Tabú (MDG)</t>
  </si>
  <si>
    <t>HOJAS DEL LIBRO</t>
  </si>
  <si>
    <t>Concepto</t>
  </si>
  <si>
    <t>Descripción</t>
  </si>
  <si>
    <t>0_Resumen</t>
  </si>
  <si>
    <t>Esta hoja – visión global del proyecto</t>
  </si>
  <si>
    <t>1_Calibracion_GRASP</t>
  </si>
  <si>
    <t>Calibración del parámetro alfa en GRASP (con fórmulas de resumen)</t>
  </si>
  <si>
    <t>2_Calib_GRASP_Runs</t>
  </si>
  <si>
    <t>Detalle de cada ejecución individual en calibración GRASP</t>
  </si>
  <si>
    <t>3_Calibracion_GRASP+BT</t>
  </si>
  <si>
    <t>Calibración de alfa y tamaño de lista tabú en GRASP+BT (con fórmulas)</t>
  </si>
  <si>
    <t>4_Calib_GRASP+BT_Runs</t>
  </si>
  <si>
    <t>Detalle de cada ejecución individual en calibración GRASP+BT</t>
  </si>
  <si>
    <t>5_Comparacion</t>
  </si>
  <si>
    <t>Comparación GRASP vs BT: medias Y mejores valores encontrados</t>
  </si>
  <si>
    <t>6_Comparacion_Runs</t>
  </si>
  <si>
    <t>Detalle de cada ejecución en la fase de comparación</t>
  </si>
  <si>
    <t>7_Tests_Estadisticos</t>
  </si>
  <si>
    <t>Test de Wilcoxon + análisis de mejores valores por instancia</t>
  </si>
  <si>
    <t>PARÁMETROS CALIBRADOS</t>
  </si>
  <si>
    <t>Alfa GRASP (small/large)</t>
  </si>
  <si>
    <t>0.1</t>
  </si>
  <si>
    <t>Alfa GRASP+BT (small/large)</t>
  </si>
  <si>
    <t>0.25</t>
  </si>
  <si>
    <t>Tamaño lista tabú (small/large)</t>
  </si>
  <si>
    <t>15</t>
  </si>
  <si>
    <t>HALLAZGOS CLAVE</t>
  </si>
  <si>
    <t>Instancias SMALL (n=100)</t>
  </si>
  <si>
    <t>Empate total: ambos alcanzan el óptimo en el 100% de ejecuciones</t>
  </si>
  <si>
    <t>Medias – Instancias LARGE</t>
  </si>
  <si>
    <t>GRASP supera a GRASP+BT en media (30 victorias vs 15; ΔMedia=−25.13; p=0.0026)</t>
  </si>
  <si>
    <t>Mejores – Instancias LARGE</t>
  </si>
  <si>
    <t>GRASP+BT alcanza el óptimo conocido en más instancias (7 vs 2 aprox.)</t>
  </si>
  <si>
    <t>Conclusión</t>
  </si>
  <si>
    <t>Disociación robustez vs intensificación: GRASP es más consistente; BT puede encontrar mejores óptimos puntuales</t>
  </si>
  <si>
    <t>Grupo</t>
  </si>
  <si>
    <t>Instancia</t>
  </si>
  <si>
    <t>Alpha</t>
  </si>
  <si>
    <t>Media OF</t>
  </si>
  <si>
    <t>Mejor OF</t>
  </si>
  <si>
    <t>Peor OF</t>
  </si>
  <si>
    <t>Desv. Típica</t>
  </si>
  <si>
    <t>Tiempo medio (s)</t>
  </si>
  <si>
    <t>Dev. media (%)</t>
  </si>
  <si>
    <t>SMALL</t>
  </si>
  <si>
    <t>MDG-a_1_100_m10.txt</t>
  </si>
  <si>
    <t>MDG-a_4_100_m10.txt</t>
  </si>
  <si>
    <t>MDG-a_10_100_m10.txt</t>
  </si>
  <si>
    <t>MDG-a_12_100_m10.txt</t>
  </si>
  <si>
    <t>MDG-a_14_100_m10.txt</t>
  </si>
  <si>
    <t>Aleatorio</t>
  </si>
  <si>
    <t>LARGE</t>
  </si>
  <si>
    <t>MDG-a_2_n500_m50.txt</t>
  </si>
  <si>
    <t>MDG-a_5_n500_m50.txt</t>
  </si>
  <si>
    <t>MDG-a_6_n500_m50.txt</t>
  </si>
  <si>
    <t>MDG-a_9_n500_m50.txt</t>
  </si>
  <si>
    <t>MDG-a_13_n500_m50.txt</t>
  </si>
  <si>
    <t>Run</t>
  </si>
  <si>
    <t>Semilla</t>
  </si>
  <si>
    <t>OF</t>
  </si>
  <si>
    <t>Tiempo (s)</t>
  </si>
  <si>
    <t>Fase</t>
  </si>
  <si>
    <t>Tam. Lista Tabú</t>
  </si>
  <si>
    <t>alpha_sweep</t>
  </si>
  <si>
    <t>tenure_sweep</t>
  </si>
  <si>
    <t>Mejor conocido</t>
  </si>
  <si>
    <t>Mejor OF encontrado</t>
  </si>
  <si>
    <t>Diferencia medias (BT - GRASP)</t>
  </si>
  <si>
    <t>Diferencia mejores (BT - GRASP)</t>
  </si>
  <si>
    <t>Resultado</t>
  </si>
  <si>
    <t>GRASP</t>
  </si>
  <si>
    <t>BT</t>
  </si>
  <si>
    <t>Absoluta</t>
  </si>
  <si>
    <t>Relativa</t>
  </si>
  <si>
    <t>Medias</t>
  </si>
  <si>
    <t>Mejores</t>
  </si>
  <si>
    <t>Instancias SMALL</t>
  </si>
  <si>
    <t>MDG-a_20_100_m10.txt</t>
  </si>
  <si>
    <t>Media SMALL</t>
  </si>
  <si>
    <t>Instancias LARGE</t>
  </si>
  <si>
    <t>MDG-a_16_n500_m50.txt</t>
  </si>
  <si>
    <t>MDG-a_17_n500_m50.txt</t>
  </si>
  <si>
    <t>MDG-a_19_n500_m50.txt</t>
  </si>
  <si>
    <t>MDG-a_20_n500_m50.txt</t>
  </si>
  <si>
    <t>Media LARGE</t>
  </si>
  <si>
    <t>Algoritmo</t>
  </si>
  <si>
    <t>—</t>
  </si>
  <si>
    <t>GRASP+TS</t>
  </si>
  <si>
    <t>Análisis Estadístico – Test de Wilcoxon (GRASP vs GRASP + Búsqueda Tabú)</t>
  </si>
  <si>
    <t>Contraste de hipótesis – Diferencia de medias por grupo de instancias</t>
  </si>
  <si>
    <t>N pares</t>
  </si>
  <si>
    <t>Victorias GRASP</t>
  </si>
  <si>
    <t>Victorias BT</t>
  </si>
  <si>
    <t>Empates</t>
  </si>
  <si>
    <t>ΔMedia (BT−GRASP)</t>
  </si>
  <si>
    <t>Estadístico W</t>
  </si>
  <si>
    <t>p-valor</t>
  </si>
  <si>
    <t>GLOBAL</t>
  </si>
  <si>
    <t>Significativo (p&lt;0.05) → GRASP estadísticamente superior a BT</t>
  </si>
  <si>
    <t>SMALL (n=100)</t>
  </si>
  <si>
    <t>Test omitido: todos los pares empatan (ambos alcanzan el óptimo)</t>
  </si>
  <si>
    <t>LARGE (n=500)</t>
  </si>
  <si>
    <t>Comparación de mejores valores encontrados (best OF) – análisis por instancia</t>
  </si>
  <si>
    <t>Best GRASP</t>
  </si>
  <si>
    <t>Best BT</t>
  </si>
  <si>
    <t>ΔBest
(BT−GRASP)</t>
  </si>
  <si>
    <t>GRASP
alcanza óptimo</t>
  </si>
  <si>
    <t>BT
alcanza óptimo</t>
  </si>
  <si>
    <t>Ventaja</t>
  </si>
  <si>
    <t>Sí ✓</t>
  </si>
  <si>
    <t>Empate</t>
  </si>
  <si>
    <t>No</t>
  </si>
  <si>
    <t>BT mejor</t>
  </si>
  <si>
    <t>GRASP mejor</t>
  </si>
  <si>
    <t>TOTALES</t>
  </si>
  <si>
    <t>Interpretación conjunta</t>
  </si>
  <si>
    <t>• MEDIAS: GRASP supera a GRASP+BT en media en las instancias LARGE (ΔMedia = −25.13; p=0.0026 &lt; 0.05). En instancias SMALL ambos alcanzan el óptimo en todas las ejecuciones → empate estadístico.</t>
  </si>
  <si>
    <t>• MEJORES VALORES: La Búsqueda Tabú consigue alcanzar el óptimo conocido en varias instancias LARGE donde GRASP no lo logra (p.ej. instancias 2, 5, 9, 13, 17, 19, 20). Esto indica que BT tiene mayor capacidad de intensificación local puntual.</t>
  </si>
  <si>
    <t>• CONCLUSIÓN: Existe una disociación entre consistencia y capacidad de alcanzar el óptimo. GRASP es más robusto en media (mejor OF promedio), pero GRASP+BT puede encontrar mejores soluciones individuales gracias a la fase de intensificación tabú, a costa de menor consistencia.</t>
  </si>
  <si>
    <t>• HIPÓTESIS: El overhead temporal de la Búsqueda Tabú reduce el número de iteraciones GRASP dentro del presupuesto fijo, degradando la media pero permitiendo exploraciones más profundas en algunas ejecuciones que alcanzan el óptimo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</si>
</sst>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0.00"/>
    <numFmt numFmtId="166" formatCode="\+0.00%;\-0.00%;0.00%"/>
    <numFmt numFmtId="167" formatCode="\+#,##0.000;\-#,##0.000;0.000"/>
    <numFmt numFmtId="168" formatCode="0.0000"/>
    <numFmt numFmtId="169" formatCode="0&quot; instancias&quot;"/>
  </numFmts>
  <fonts count="8" x14ac:knownFonts="1">
    <font>
      <sz val="11"/>
      <color theme="1"/>
      <name val="Calibri"/>
      <family val="2"/>
      <charset val="1"/>
    </font>
    <font>
      <b/>
      <sz val="14"/>
      <color rgb="FFFFFFFF"/>
      <name val="Arial"/>
      <family val="2"/>
    </font>
    <font>
      <b/>
      <sz val="10"/>
      <name val="Arial"/>
      <family val="2"/>
    </font>
    <font>
      <b/>
      <sz val="10"/>
      <color rgb="FFFFFFFF"/>
      <name val="Arial"/>
      <family val="2"/>
    </font>
    <font>
      <sz val="10"/>
      <name val="Arial"/>
      <family val="2"/>
    </font>
    <font>
      <b/>
      <sz val="13"/>
      <color rgb="FFFFFFFF"/>
      <name val="Arial"/>
      <family val="2"/>
    </font>
    <font>
      <i/>
      <sz val="10"/>
      <name val="Arial"/>
      <family val="2"/>
    </font>
    <font>
      <b/>
      <u/>
      <sz val="10"/>
      <color rgb="FFFFFFFF"/>
      <name val="Arial"/>
      <family val="2"/>
    </font>
  </fonts>
  <fills count="12">
    <fill>
      <patternFill patternType="none"/>
    </fill>
    <fill>
      <patternFill patternType="gray125"/>
    </fill>
    <fill>
      <patternFill patternType="solid">
        <fgColor rgb="FF1F4E79"/>
        <bgColor rgb="FF003366"/>
      </patternFill>
    </fill>
    <fill>
      <patternFill patternType="solid">
        <fgColor rgb="FFBDD7EE"/>
        <bgColor rgb="FFD6E4F0"/>
      </patternFill>
    </fill>
    <fill>
      <patternFill patternType="solid">
        <fgColor rgb="FF2E75B6"/>
        <bgColor rgb="FF0066CC"/>
      </patternFill>
    </fill>
    <fill>
      <patternFill patternType="solid">
        <fgColor rgb="FFD6E4F0"/>
        <bgColor rgb="FFE2EFDA"/>
      </patternFill>
    </fill>
    <fill>
      <patternFill patternType="solid">
        <fgColor rgb="FF7B2C2C"/>
        <bgColor rgb="FF993366"/>
      </patternFill>
    </fill>
    <fill>
      <patternFill patternType="solid">
        <fgColor rgb="FFFFEB9C"/>
        <bgColor rgb="FFE2EFDA"/>
      </patternFill>
    </fill>
    <fill>
      <patternFill patternType="solid">
        <fgColor rgb="FFFFC7CE"/>
        <bgColor rgb="FFFFEB9C"/>
      </patternFill>
    </fill>
    <fill>
      <patternFill patternType="solid">
        <fgColor rgb="FFC6EFCE"/>
        <bgColor rgb="FFE2EFDA"/>
      </patternFill>
    </fill>
    <fill>
      <patternFill patternType="solid">
        <fgColor rgb="FF4A235A"/>
        <bgColor rgb="FF660066"/>
      </patternFill>
    </fill>
    <fill>
      <patternFill patternType="solid">
        <fgColor rgb="FFE2EFDA"/>
        <bgColor rgb="FFD6E4F0"/>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54">
    <xf numFmtId="0" fontId="0" fillId="0" borderId="0" xfId="0"/>
    <xf numFmtId="0" fontId="2" fillId="3" borderId="0" xfId="0" applyFont="1" applyFill="1" applyAlignment="1">
      <alignment horizontal="center" vertical="center" wrapText="1"/>
    </xf>
    <xf numFmtId="0" fontId="5" fillId="2" borderId="0" xfId="0" applyFont="1" applyFill="1" applyAlignment="1">
      <alignment horizontal="center" vertical="center" wrapText="1"/>
    </xf>
    <xf numFmtId="0" fontId="2" fillId="3" borderId="2" xfId="0" applyFont="1" applyFill="1" applyBorder="1" applyAlignment="1">
      <alignment horizontal="left" vertical="center" wrapText="1"/>
    </xf>
    <xf numFmtId="0" fontId="3" fillId="6" borderId="0" xfId="0" applyFont="1" applyFill="1" applyAlignment="1">
      <alignment horizontal="center" vertical="center" wrapText="1"/>
    </xf>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4" fillId="0" borderId="2" xfId="0" applyFont="1" applyBorder="1" applyAlignment="1">
      <alignment horizontal="left" vertical="center" wrapText="1"/>
    </xf>
    <xf numFmtId="0" fontId="3" fillId="4" borderId="2" xfId="0" applyFont="1" applyFill="1" applyBorder="1" applyAlignment="1">
      <alignment horizontal="center" vertical="center" wrapText="1"/>
    </xf>
    <xf numFmtId="0" fontId="2" fillId="3" borderId="0" xfId="0" applyFont="1" applyFill="1" applyAlignment="1">
      <alignment horizontal="left"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2" fillId="0" borderId="1" xfId="0" applyFont="1" applyBorder="1" applyAlignment="1">
      <alignment horizontal="right" vertical="center"/>
    </xf>
    <xf numFmtId="0" fontId="2" fillId="5" borderId="1" xfId="0" applyFont="1" applyFill="1" applyBorder="1" applyAlignment="1">
      <alignment horizontal="right" vertical="center"/>
    </xf>
    <xf numFmtId="0" fontId="3" fillId="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4" fontId="4"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10" fontId="4" fillId="5" borderId="1" xfId="0" applyNumberFormat="1" applyFont="1" applyFill="1" applyBorder="1" applyAlignment="1">
      <alignment horizontal="right" vertical="center"/>
    </xf>
    <xf numFmtId="0" fontId="4" fillId="0" borderId="1" xfId="0" applyFont="1" applyBorder="1" applyAlignment="1">
      <alignment horizontal="center" vertical="center" wrapText="1"/>
    </xf>
    <xf numFmtId="4" fontId="4" fillId="0" borderId="1" xfId="0" applyNumberFormat="1" applyFont="1" applyBorder="1" applyAlignment="1">
      <alignment horizontal="right" vertical="center"/>
    </xf>
    <xf numFmtId="164" fontId="4" fillId="0" borderId="1" xfId="0" applyNumberFormat="1" applyFont="1" applyBorder="1" applyAlignment="1">
      <alignment horizontal="right" vertical="center"/>
    </xf>
    <xf numFmtId="10" fontId="4" fillId="0" borderId="1" xfId="0" applyNumberFormat="1" applyFont="1" applyBorder="1" applyAlignment="1">
      <alignment horizontal="right" vertical="center"/>
    </xf>
    <xf numFmtId="0" fontId="3" fillId="6" borderId="1" xfId="0" applyFont="1" applyFill="1" applyBorder="1" applyAlignment="1">
      <alignment horizontal="center" vertical="center" wrapText="1"/>
    </xf>
    <xf numFmtId="165" fontId="4" fillId="5" borderId="1" xfId="0" applyNumberFormat="1" applyFont="1" applyFill="1" applyBorder="1" applyAlignment="1">
      <alignment horizontal="right" vertical="center"/>
    </xf>
    <xf numFmtId="166" fontId="4" fillId="5" borderId="1" xfId="0" applyNumberFormat="1" applyFont="1" applyFill="1" applyBorder="1" applyAlignment="1">
      <alignment horizontal="right" vertical="center"/>
    </xf>
    <xf numFmtId="0" fontId="4" fillId="7" borderId="1" xfId="0" applyFont="1" applyFill="1" applyBorder="1" applyAlignment="1">
      <alignment horizontal="center" vertical="center" wrapText="1"/>
    </xf>
    <xf numFmtId="165" fontId="4" fillId="0" borderId="1" xfId="0" applyNumberFormat="1" applyFont="1" applyBorder="1" applyAlignment="1">
      <alignment horizontal="right" vertical="center"/>
    </xf>
    <xf numFmtId="166" fontId="4" fillId="0" borderId="1" xfId="0" applyNumberFormat="1" applyFont="1" applyBorder="1" applyAlignment="1">
      <alignment horizontal="right" vertical="center"/>
    </xf>
    <xf numFmtId="4" fontId="2" fillId="3" borderId="1" xfId="0" applyNumberFormat="1" applyFont="1" applyFill="1" applyBorder="1" applyAlignment="1">
      <alignment horizontal="right" vertical="center"/>
    </xf>
    <xf numFmtId="165" fontId="2" fillId="3" borderId="1" xfId="0" applyNumberFormat="1" applyFont="1" applyFill="1" applyBorder="1" applyAlignment="1">
      <alignment horizontal="right" vertical="center"/>
    </xf>
    <xf numFmtId="166" fontId="2" fillId="3" borderId="1" xfId="0" applyNumberFormat="1" applyFont="1" applyFill="1" applyBorder="1" applyAlignment="1">
      <alignment horizontal="right" vertical="center"/>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167" fontId="4" fillId="0" borderId="1" xfId="0" applyNumberFormat="1" applyFont="1" applyBorder="1" applyAlignment="1">
      <alignment horizontal="right" vertical="center"/>
    </xf>
    <xf numFmtId="168" fontId="4" fillId="0" borderId="1" xfId="0" applyNumberFormat="1" applyFont="1" applyBorder="1" applyAlignment="1">
      <alignment horizontal="center" vertical="center" wrapText="1"/>
    </xf>
    <xf numFmtId="0" fontId="2" fillId="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67" fontId="4" fillId="5" borderId="1" xfId="0" applyNumberFormat="1" applyFont="1" applyFill="1" applyBorder="1" applyAlignment="1">
      <alignment horizontal="right" vertical="center"/>
    </xf>
    <xf numFmtId="0" fontId="2" fillId="7"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165" fontId="4" fillId="7" borderId="1" xfId="0" applyNumberFormat="1" applyFont="1" applyFill="1" applyBorder="1" applyAlignment="1">
      <alignment horizontal="right" vertical="center"/>
    </xf>
    <xf numFmtId="0" fontId="4" fillId="11" borderId="1" xfId="0" applyFont="1" applyFill="1" applyBorder="1" applyAlignment="1">
      <alignment horizontal="center" vertical="center" wrapText="1"/>
    </xf>
    <xf numFmtId="165" fontId="4" fillId="9" borderId="1" xfId="0" applyNumberFormat="1" applyFont="1" applyFill="1" applyBorder="1" applyAlignment="1">
      <alignment horizontal="right" vertical="center"/>
    </xf>
    <xf numFmtId="0" fontId="2" fillId="9" borderId="1" xfId="0" applyFont="1" applyFill="1" applyBorder="1" applyAlignment="1">
      <alignment horizontal="center" vertical="center" wrapText="1"/>
    </xf>
    <xf numFmtId="165" fontId="4" fillId="8" borderId="1" xfId="0" applyNumberFormat="1" applyFont="1" applyFill="1" applyBorder="1" applyAlignment="1">
      <alignment horizontal="right" vertical="center"/>
    </xf>
    <xf numFmtId="169" fontId="2" fillId="3" borderId="1" xfId="0" applyNumberFormat="1" applyFont="1" applyFill="1" applyBorder="1" applyAlignment="1">
      <alignment horizontal="center" vertical="center" wrapText="1"/>
    </xf>
    <xf numFmtId="0" fontId="3" fillId="10" borderId="0" xfId="0" applyFont="1" applyFill="1" applyAlignment="1">
      <alignment horizontal="center" vertical="center" wrapText="1"/>
    </xf>
    <xf numFmtId="0" fontId="6" fillId="5" borderId="2" xfId="0" applyFont="1" applyFill="1" applyBorder="1" applyAlignment="1">
      <alignment horizontal="left" vertical="center" wrapText="1"/>
    </xf>
    <xf numFmtId="0" fontId="6" fillId="0" borderId="2" xfId="0" applyFont="1" applyBorder="1" applyAlignment="1">
      <alignment horizontal="left" vertical="center" wrapText="1"/>
    </xf>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969696"/>
      <rgbColor rgb="FF003366"/>
      <rgbColor rgb="FF339966"/>
      <rgbColor rgb="FF003300"/>
      <rgbColor rgb="FF375623"/>
      <rgbColor rgb="FF7B2C2C"/>
      <rgbColor rgb="FF993366"/>
      <rgbColor rgb="FF1F4E79"/>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zoomScaleNormal="100" workbookViewId="0">
      <selection sqref="A1:F1"/>
    </sheetView>
  </sheetViews>
  <sheetFormatPr baseColWidth="10" defaultColWidth="8.7109375" defaultRowHeight="15" x14ac:dyDescent="0.25"/>
  <cols>
    <col min="1" max="1" width="35" customWidth="1"/>
    <col min="2" max="6" width="20" customWidth="1"/>
  </cols>
  <sheetData>
    <row r="1" spans="1:6" ht="36" customHeight="1" x14ac:dyDescent="0.25">
      <c r="A1" s="12" t="s">
        <v>0</v>
      </c>
      <c r="B1" s="12"/>
      <c r="C1" s="12"/>
      <c r="D1" s="12"/>
      <c r="E1" s="12"/>
      <c r="F1" s="12"/>
    </row>
    <row r="3" spans="1:6" ht="21.75" customHeight="1" x14ac:dyDescent="0.25">
      <c r="A3" s="11" t="s">
        <v>1</v>
      </c>
      <c r="B3" s="11"/>
      <c r="C3" s="11"/>
      <c r="D3" s="11"/>
      <c r="E3" s="11"/>
      <c r="F3" s="11"/>
    </row>
    <row r="4" spans="1:6" ht="15" customHeight="1" x14ac:dyDescent="0.25">
      <c r="A4" s="13" t="s">
        <v>2</v>
      </c>
      <c r="B4" s="10" t="s">
        <v>3</v>
      </c>
      <c r="C4" s="10"/>
      <c r="D4" s="10"/>
      <c r="E4" s="10"/>
      <c r="F4" s="10"/>
    </row>
    <row r="5" spans="1:6" ht="30" customHeight="1" x14ac:dyDescent="0.25">
      <c r="A5" s="14" t="s">
        <v>4</v>
      </c>
      <c r="B5" s="9" t="s">
        <v>5</v>
      </c>
      <c r="C5" s="9"/>
      <c r="D5" s="9"/>
      <c r="E5" s="9"/>
      <c r="F5" s="9"/>
    </row>
    <row r="6" spans="1:6" ht="30" customHeight="1" x14ac:dyDescent="0.25">
      <c r="A6" s="15" t="s">
        <v>6</v>
      </c>
      <c r="B6" s="8" t="s">
        <v>7</v>
      </c>
      <c r="C6" s="8"/>
      <c r="D6" s="8"/>
      <c r="E6" s="8"/>
      <c r="F6" s="8"/>
    </row>
    <row r="7" spans="1:6" ht="30" customHeight="1" x14ac:dyDescent="0.25">
      <c r="A7" s="14" t="s">
        <v>8</v>
      </c>
      <c r="B7" s="9" t="s">
        <v>9</v>
      </c>
      <c r="C7" s="9"/>
      <c r="D7" s="9"/>
      <c r="E7" s="9"/>
      <c r="F7" s="9"/>
    </row>
    <row r="8" spans="1:6" ht="30" customHeight="1" x14ac:dyDescent="0.25">
      <c r="A8" s="15" t="s">
        <v>10</v>
      </c>
      <c r="B8" s="8" t="s">
        <v>11</v>
      </c>
      <c r="C8" s="8"/>
      <c r="D8" s="8"/>
      <c r="E8" s="8"/>
      <c r="F8" s="8"/>
    </row>
    <row r="9" spans="1:6" ht="30" customHeight="1" x14ac:dyDescent="0.25">
      <c r="A9" s="14" t="s">
        <v>12</v>
      </c>
      <c r="B9" s="9" t="s">
        <v>13</v>
      </c>
      <c r="C9" s="9"/>
      <c r="D9" s="9"/>
      <c r="E9" s="9"/>
      <c r="F9" s="9"/>
    </row>
    <row r="10" spans="1:6" ht="30" customHeight="1" x14ac:dyDescent="0.25">
      <c r="A10" s="15" t="s">
        <v>14</v>
      </c>
      <c r="B10" s="8" t="s">
        <v>15</v>
      </c>
      <c r="C10" s="8"/>
      <c r="D10" s="8"/>
      <c r="E10" s="8"/>
      <c r="F10" s="8"/>
    </row>
    <row r="11" spans="1:6" ht="30" customHeight="1" x14ac:dyDescent="0.25">
      <c r="A11" s="14" t="s">
        <v>16</v>
      </c>
      <c r="B11" s="9" t="s">
        <v>17</v>
      </c>
      <c r="C11" s="9"/>
      <c r="D11" s="9"/>
      <c r="E11" s="9"/>
      <c r="F11" s="9"/>
    </row>
    <row r="12" spans="1:6" ht="30" customHeight="1" x14ac:dyDescent="0.25">
      <c r="A12" s="15" t="s">
        <v>18</v>
      </c>
      <c r="B12" s="8" t="s">
        <v>19</v>
      </c>
      <c r="C12" s="8"/>
      <c r="D12" s="8"/>
      <c r="E12" s="8"/>
      <c r="F12" s="8"/>
    </row>
    <row r="14" spans="1:6" ht="21.75" customHeight="1" x14ac:dyDescent="0.25">
      <c r="A14" s="11" t="s">
        <v>20</v>
      </c>
      <c r="B14" s="11"/>
      <c r="C14" s="11"/>
      <c r="D14" s="11"/>
      <c r="E14" s="11"/>
      <c r="F14" s="11"/>
    </row>
    <row r="15" spans="1:6" ht="15" customHeight="1" x14ac:dyDescent="0.25">
      <c r="A15" s="13" t="s">
        <v>2</v>
      </c>
      <c r="B15" s="10" t="s">
        <v>3</v>
      </c>
      <c r="C15" s="10"/>
      <c r="D15" s="10"/>
      <c r="E15" s="10"/>
      <c r="F15" s="10"/>
    </row>
    <row r="16" spans="1:6" ht="30" customHeight="1" x14ac:dyDescent="0.25">
      <c r="A16" s="15" t="s">
        <v>21</v>
      </c>
      <c r="B16" s="8" t="s">
        <v>22</v>
      </c>
      <c r="C16" s="8"/>
      <c r="D16" s="8"/>
      <c r="E16" s="8"/>
      <c r="F16" s="8"/>
    </row>
    <row r="17" spans="1:6" ht="30" customHeight="1" x14ac:dyDescent="0.25">
      <c r="A17" s="14" t="s">
        <v>23</v>
      </c>
      <c r="B17" s="9" t="s">
        <v>24</v>
      </c>
      <c r="C17" s="9"/>
      <c r="D17" s="9"/>
      <c r="E17" s="9"/>
      <c r="F17" s="9"/>
    </row>
    <row r="18" spans="1:6" ht="30" customHeight="1" x14ac:dyDescent="0.25">
      <c r="A18" s="15" t="s">
        <v>25</v>
      </c>
      <c r="B18" s="8" t="s">
        <v>26</v>
      </c>
      <c r="C18" s="8"/>
      <c r="D18" s="8"/>
      <c r="E18" s="8"/>
      <c r="F18" s="8"/>
    </row>
    <row r="20" spans="1:6" ht="21.75" customHeight="1" x14ac:dyDescent="0.25">
      <c r="A20" s="11" t="s">
        <v>27</v>
      </c>
      <c r="B20" s="11"/>
      <c r="C20" s="11"/>
      <c r="D20" s="11"/>
      <c r="E20" s="11"/>
      <c r="F20" s="11"/>
    </row>
    <row r="21" spans="1:6" ht="15" customHeight="1" x14ac:dyDescent="0.25">
      <c r="A21" s="13" t="s">
        <v>2</v>
      </c>
      <c r="B21" s="10" t="s">
        <v>3</v>
      </c>
      <c r="C21" s="10"/>
      <c r="D21" s="10"/>
      <c r="E21" s="10"/>
      <c r="F21" s="10"/>
    </row>
    <row r="22" spans="1:6" ht="30" customHeight="1" x14ac:dyDescent="0.25">
      <c r="A22" s="15" t="s">
        <v>28</v>
      </c>
      <c r="B22" s="8" t="s">
        <v>29</v>
      </c>
      <c r="C22" s="8"/>
      <c r="D22" s="8"/>
      <c r="E22" s="8"/>
      <c r="F22" s="8"/>
    </row>
    <row r="23" spans="1:6" ht="30" customHeight="1" x14ac:dyDescent="0.25">
      <c r="A23" s="14" t="s">
        <v>30</v>
      </c>
      <c r="B23" s="9" t="s">
        <v>31</v>
      </c>
      <c r="C23" s="9"/>
      <c r="D23" s="9"/>
      <c r="E23" s="9"/>
      <c r="F23" s="9"/>
    </row>
    <row r="24" spans="1:6" ht="30" customHeight="1" x14ac:dyDescent="0.25">
      <c r="A24" s="15" t="s">
        <v>32</v>
      </c>
      <c r="B24" s="8" t="s">
        <v>33</v>
      </c>
      <c r="C24" s="8"/>
      <c r="D24" s="8"/>
      <c r="E24" s="8"/>
      <c r="F24" s="8"/>
    </row>
    <row r="25" spans="1:6" ht="30" customHeight="1" x14ac:dyDescent="0.25">
      <c r="A25" s="14" t="s">
        <v>34</v>
      </c>
      <c r="B25" s="9" t="s">
        <v>35</v>
      </c>
      <c r="C25" s="9"/>
      <c r="D25" s="9"/>
      <c r="E25" s="9"/>
      <c r="F25" s="9"/>
    </row>
  </sheetData>
  <mergeCells count="22">
    <mergeCell ref="B24:F24"/>
    <mergeCell ref="B25:F25"/>
    <mergeCell ref="B18:F18"/>
    <mergeCell ref="A20:F20"/>
    <mergeCell ref="B21:F21"/>
    <mergeCell ref="B22:F22"/>
    <mergeCell ref="B23:F23"/>
    <mergeCell ref="B12:F12"/>
    <mergeCell ref="A14:F14"/>
    <mergeCell ref="B15:F15"/>
    <mergeCell ref="B16:F16"/>
    <mergeCell ref="B17:F17"/>
    <mergeCell ref="B7:F7"/>
    <mergeCell ref="B8:F8"/>
    <mergeCell ref="B9:F9"/>
    <mergeCell ref="B10:F10"/>
    <mergeCell ref="B11:F11"/>
    <mergeCell ref="A1:F1"/>
    <mergeCell ref="A3:F3"/>
    <mergeCell ref="B4:F4"/>
    <mergeCell ref="B5:F5"/>
    <mergeCell ref="B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9"/>
  <sheetViews>
    <sheetView showGridLines="0" zoomScaleNormal="100" workbookViewId="0">
      <pane xSplit="2" ySplit="1" topLeftCell="C2" activePane="bottomRight" state="frozen"/>
      <selection pane="topRight" activeCell="C1" sqref="C1"/>
      <selection pane="bottomLeft" activeCell="A2" sqref="A2"/>
      <selection pane="bottomRight" activeCell="K68" sqref="K68"/>
    </sheetView>
  </sheetViews>
  <sheetFormatPr baseColWidth="10" defaultColWidth="8.7109375" defaultRowHeight="15" x14ac:dyDescent="0.25"/>
  <cols>
    <col min="1" max="2" width="23" customWidth="1"/>
    <col min="3" max="3" width="11" customWidth="1"/>
    <col min="4" max="9" width="18" customWidth="1"/>
  </cols>
  <sheetData>
    <row r="1" spans="1:9" ht="30" customHeight="1" x14ac:dyDescent="0.25">
      <c r="A1" s="16" t="s">
        <v>36</v>
      </c>
      <c r="B1" s="16" t="s">
        <v>37</v>
      </c>
      <c r="C1" s="16" t="s">
        <v>38</v>
      </c>
      <c r="D1" s="16" t="s">
        <v>39</v>
      </c>
      <c r="E1" s="16" t="s">
        <v>40</v>
      </c>
      <c r="F1" s="16" t="s">
        <v>41</v>
      </c>
      <c r="G1" s="16" t="s">
        <v>42</v>
      </c>
      <c r="H1" s="16" t="s">
        <v>43</v>
      </c>
      <c r="I1" s="16" t="s">
        <v>44</v>
      </c>
    </row>
    <row r="2" spans="1:9" x14ac:dyDescent="0.25">
      <c r="A2" s="17" t="s">
        <v>45</v>
      </c>
      <c r="B2" s="17" t="s">
        <v>46</v>
      </c>
      <c r="C2" s="17">
        <v>0.1</v>
      </c>
      <c r="D2" s="18">
        <v>360.15</v>
      </c>
      <c r="E2" s="18">
        <v>360.15</v>
      </c>
      <c r="F2" s="18">
        <v>360.15</v>
      </c>
      <c r="G2" s="18">
        <v>0</v>
      </c>
      <c r="H2" s="19">
        <v>10.000999999999999</v>
      </c>
      <c r="I2" s="20">
        <v>0</v>
      </c>
    </row>
    <row r="3" spans="1:9" x14ac:dyDescent="0.25">
      <c r="A3" s="21" t="s">
        <v>45</v>
      </c>
      <c r="B3" s="21" t="s">
        <v>47</v>
      </c>
      <c r="C3" s="21">
        <v>0.1</v>
      </c>
      <c r="D3" s="22">
        <v>355.72</v>
      </c>
      <c r="E3" s="22">
        <v>355.72</v>
      </c>
      <c r="F3" s="22">
        <v>355.72</v>
      </c>
      <c r="G3" s="22">
        <v>0</v>
      </c>
      <c r="H3" s="23">
        <v>10.002000000000001</v>
      </c>
      <c r="I3" s="24">
        <v>0</v>
      </c>
    </row>
    <row r="4" spans="1:9" x14ac:dyDescent="0.25">
      <c r="A4" s="17" t="s">
        <v>45</v>
      </c>
      <c r="B4" s="17" t="s">
        <v>48</v>
      </c>
      <c r="C4" s="17">
        <v>0.1</v>
      </c>
      <c r="D4" s="18">
        <v>355.5</v>
      </c>
      <c r="E4" s="18">
        <v>355.5</v>
      </c>
      <c r="F4" s="18">
        <v>355.5</v>
      </c>
      <c r="G4" s="18">
        <v>0</v>
      </c>
      <c r="H4" s="19">
        <v>10.000999999999999</v>
      </c>
      <c r="I4" s="20">
        <v>0</v>
      </c>
    </row>
    <row r="5" spans="1:9" x14ac:dyDescent="0.25">
      <c r="A5" s="21" t="s">
        <v>45</v>
      </c>
      <c r="B5" s="21" t="s">
        <v>49</v>
      </c>
      <c r="C5" s="21">
        <v>0.1</v>
      </c>
      <c r="D5" s="22">
        <v>354.25</v>
      </c>
      <c r="E5" s="22">
        <v>354.25</v>
      </c>
      <c r="F5" s="22">
        <v>354.25</v>
      </c>
      <c r="G5" s="22">
        <v>0</v>
      </c>
      <c r="H5" s="23">
        <v>10.000999999999999</v>
      </c>
      <c r="I5" s="24">
        <v>0</v>
      </c>
    </row>
    <row r="6" spans="1:9" x14ac:dyDescent="0.25">
      <c r="A6" s="17" t="s">
        <v>45</v>
      </c>
      <c r="B6" s="17" t="s">
        <v>50</v>
      </c>
      <c r="C6" s="17">
        <v>0.1</v>
      </c>
      <c r="D6" s="18">
        <v>356.06</v>
      </c>
      <c r="E6" s="18">
        <v>356.06</v>
      </c>
      <c r="F6" s="18">
        <v>356.06</v>
      </c>
      <c r="G6" s="18">
        <v>0</v>
      </c>
      <c r="H6" s="19">
        <v>10</v>
      </c>
      <c r="I6" s="20">
        <v>0</v>
      </c>
    </row>
    <row r="7" spans="1:9" x14ac:dyDescent="0.25">
      <c r="A7" s="21" t="s">
        <v>45</v>
      </c>
      <c r="B7" s="21" t="s">
        <v>46</v>
      </c>
      <c r="C7" s="21">
        <v>0.25</v>
      </c>
      <c r="D7" s="22">
        <v>360.15</v>
      </c>
      <c r="E7" s="22">
        <v>360.15</v>
      </c>
      <c r="F7" s="22">
        <v>360.15</v>
      </c>
      <c r="G7" s="22">
        <v>0</v>
      </c>
      <c r="H7" s="23">
        <v>10.000999999999999</v>
      </c>
      <c r="I7" s="24">
        <v>0</v>
      </c>
    </row>
    <row r="8" spans="1:9" x14ac:dyDescent="0.25">
      <c r="A8" s="17" t="s">
        <v>45</v>
      </c>
      <c r="B8" s="17" t="s">
        <v>47</v>
      </c>
      <c r="C8" s="17">
        <v>0.25</v>
      </c>
      <c r="D8" s="18">
        <v>355.72</v>
      </c>
      <c r="E8" s="18">
        <v>355.72</v>
      </c>
      <c r="F8" s="18">
        <v>355.72</v>
      </c>
      <c r="G8" s="18">
        <v>0</v>
      </c>
      <c r="H8" s="19">
        <v>10.002000000000001</v>
      </c>
      <c r="I8" s="20">
        <v>0</v>
      </c>
    </row>
    <row r="9" spans="1:9" x14ac:dyDescent="0.25">
      <c r="A9" s="21" t="s">
        <v>45</v>
      </c>
      <c r="B9" s="21" t="s">
        <v>48</v>
      </c>
      <c r="C9" s="21">
        <v>0.25</v>
      </c>
      <c r="D9" s="22">
        <v>355.5</v>
      </c>
      <c r="E9" s="22">
        <v>355.5</v>
      </c>
      <c r="F9" s="22">
        <v>355.5</v>
      </c>
      <c r="G9" s="22">
        <v>0</v>
      </c>
      <c r="H9" s="23">
        <v>10.000999999999999</v>
      </c>
      <c r="I9" s="24">
        <v>0</v>
      </c>
    </row>
    <row r="10" spans="1:9" x14ac:dyDescent="0.25">
      <c r="A10" s="17" t="s">
        <v>45</v>
      </c>
      <c r="B10" s="17" t="s">
        <v>49</v>
      </c>
      <c r="C10" s="17">
        <v>0.25</v>
      </c>
      <c r="D10" s="18">
        <v>354.25</v>
      </c>
      <c r="E10" s="18">
        <v>354.25</v>
      </c>
      <c r="F10" s="18">
        <v>354.25</v>
      </c>
      <c r="G10" s="18">
        <v>0</v>
      </c>
      <c r="H10" s="19">
        <v>10.000999999999999</v>
      </c>
      <c r="I10" s="20">
        <v>0</v>
      </c>
    </row>
    <row r="11" spans="1:9" x14ac:dyDescent="0.25">
      <c r="A11" s="21" t="s">
        <v>45</v>
      </c>
      <c r="B11" s="21" t="s">
        <v>50</v>
      </c>
      <c r="C11" s="21">
        <v>0.25</v>
      </c>
      <c r="D11" s="22">
        <v>356.06</v>
      </c>
      <c r="E11" s="22">
        <v>356.06</v>
      </c>
      <c r="F11" s="22">
        <v>356.06</v>
      </c>
      <c r="G11" s="22">
        <v>0</v>
      </c>
      <c r="H11" s="23">
        <v>10</v>
      </c>
      <c r="I11" s="24">
        <v>0</v>
      </c>
    </row>
    <row r="12" spans="1:9" x14ac:dyDescent="0.25">
      <c r="A12" s="17" t="s">
        <v>45</v>
      </c>
      <c r="B12" s="17" t="s">
        <v>46</v>
      </c>
      <c r="C12" s="17">
        <v>0.5</v>
      </c>
      <c r="D12" s="18">
        <v>360.15</v>
      </c>
      <c r="E12" s="18">
        <v>360.15</v>
      </c>
      <c r="F12" s="18">
        <v>360.15</v>
      </c>
      <c r="G12" s="18">
        <v>0</v>
      </c>
      <c r="H12" s="19">
        <v>10.004</v>
      </c>
      <c r="I12" s="20">
        <v>0</v>
      </c>
    </row>
    <row r="13" spans="1:9" x14ac:dyDescent="0.25">
      <c r="A13" s="21" t="s">
        <v>45</v>
      </c>
      <c r="B13" s="21" t="s">
        <v>47</v>
      </c>
      <c r="C13" s="21">
        <v>0.5</v>
      </c>
      <c r="D13" s="22">
        <v>355.72</v>
      </c>
      <c r="E13" s="22">
        <v>355.72</v>
      </c>
      <c r="F13" s="22">
        <v>355.72</v>
      </c>
      <c r="G13" s="22">
        <v>0</v>
      </c>
      <c r="H13" s="23">
        <v>10.002000000000001</v>
      </c>
      <c r="I13" s="24">
        <v>0</v>
      </c>
    </row>
    <row r="14" spans="1:9" x14ac:dyDescent="0.25">
      <c r="A14" s="17" t="s">
        <v>45</v>
      </c>
      <c r="B14" s="17" t="s">
        <v>48</v>
      </c>
      <c r="C14" s="17">
        <v>0.5</v>
      </c>
      <c r="D14" s="18">
        <v>355.5</v>
      </c>
      <c r="E14" s="18">
        <v>355.5</v>
      </c>
      <c r="F14" s="18">
        <v>355.5</v>
      </c>
      <c r="G14" s="18">
        <v>0</v>
      </c>
      <c r="H14" s="19">
        <v>10.003</v>
      </c>
      <c r="I14" s="20">
        <v>0</v>
      </c>
    </row>
    <row r="15" spans="1:9" x14ac:dyDescent="0.25">
      <c r="A15" s="21" t="s">
        <v>45</v>
      </c>
      <c r="B15" s="21" t="s">
        <v>49</v>
      </c>
      <c r="C15" s="21">
        <v>0.5</v>
      </c>
      <c r="D15" s="22">
        <v>354.25</v>
      </c>
      <c r="E15" s="22">
        <v>354.25</v>
      </c>
      <c r="F15" s="22">
        <v>354.25</v>
      </c>
      <c r="G15" s="22">
        <v>0</v>
      </c>
      <c r="H15" s="23">
        <v>10.002000000000001</v>
      </c>
      <c r="I15" s="24">
        <v>0</v>
      </c>
    </row>
    <row r="16" spans="1:9" x14ac:dyDescent="0.25">
      <c r="A16" s="17" t="s">
        <v>45</v>
      </c>
      <c r="B16" s="17" t="s">
        <v>50</v>
      </c>
      <c r="C16" s="17">
        <v>0.5</v>
      </c>
      <c r="D16" s="18">
        <v>356.06</v>
      </c>
      <c r="E16" s="18">
        <v>356.06</v>
      </c>
      <c r="F16" s="18">
        <v>356.06</v>
      </c>
      <c r="G16" s="18">
        <v>0</v>
      </c>
      <c r="H16" s="19">
        <v>10.002000000000001</v>
      </c>
      <c r="I16" s="20">
        <v>0</v>
      </c>
    </row>
    <row r="17" spans="1:9" x14ac:dyDescent="0.25">
      <c r="A17" s="21" t="s">
        <v>45</v>
      </c>
      <c r="B17" s="21" t="s">
        <v>46</v>
      </c>
      <c r="C17" s="21">
        <v>0.75</v>
      </c>
      <c r="D17" s="22">
        <v>360.15</v>
      </c>
      <c r="E17" s="22">
        <v>360.15</v>
      </c>
      <c r="F17" s="22">
        <v>360.15</v>
      </c>
      <c r="G17" s="22">
        <v>0</v>
      </c>
      <c r="H17" s="23">
        <v>10.003</v>
      </c>
      <c r="I17" s="24">
        <v>0</v>
      </c>
    </row>
    <row r="18" spans="1:9" x14ac:dyDescent="0.25">
      <c r="A18" s="17" t="s">
        <v>45</v>
      </c>
      <c r="B18" s="17" t="s">
        <v>47</v>
      </c>
      <c r="C18" s="17">
        <v>0.75</v>
      </c>
      <c r="D18" s="18">
        <v>355.72</v>
      </c>
      <c r="E18" s="18">
        <v>355.72</v>
      </c>
      <c r="F18" s="18">
        <v>355.72</v>
      </c>
      <c r="G18" s="18">
        <v>0</v>
      </c>
      <c r="H18" s="19">
        <v>10.003</v>
      </c>
      <c r="I18" s="20">
        <v>0</v>
      </c>
    </row>
    <row r="19" spans="1:9" x14ac:dyDescent="0.25">
      <c r="A19" s="21" t="s">
        <v>45</v>
      </c>
      <c r="B19" s="21" t="s">
        <v>48</v>
      </c>
      <c r="C19" s="21">
        <v>0.75</v>
      </c>
      <c r="D19" s="22">
        <v>355.5</v>
      </c>
      <c r="E19" s="22">
        <v>355.5</v>
      </c>
      <c r="F19" s="22">
        <v>355.5</v>
      </c>
      <c r="G19" s="22">
        <v>0</v>
      </c>
      <c r="H19" s="23">
        <v>10.002000000000001</v>
      </c>
      <c r="I19" s="24">
        <v>0</v>
      </c>
    </row>
    <row r="20" spans="1:9" x14ac:dyDescent="0.25">
      <c r="A20" s="17" t="s">
        <v>45</v>
      </c>
      <c r="B20" s="17" t="s">
        <v>49</v>
      </c>
      <c r="C20" s="17">
        <v>0.75</v>
      </c>
      <c r="D20" s="18">
        <v>354.25</v>
      </c>
      <c r="E20" s="18">
        <v>354.25</v>
      </c>
      <c r="F20" s="18">
        <v>354.25</v>
      </c>
      <c r="G20" s="18">
        <v>0</v>
      </c>
      <c r="H20" s="19">
        <v>10.002000000000001</v>
      </c>
      <c r="I20" s="20">
        <v>0</v>
      </c>
    </row>
    <row r="21" spans="1:9" x14ac:dyDescent="0.25">
      <c r="A21" s="21" t="s">
        <v>45</v>
      </c>
      <c r="B21" s="21" t="s">
        <v>50</v>
      </c>
      <c r="C21" s="21">
        <v>0.75</v>
      </c>
      <c r="D21" s="22">
        <v>356.06</v>
      </c>
      <c r="E21" s="22">
        <v>356.06</v>
      </c>
      <c r="F21" s="22">
        <v>356.06</v>
      </c>
      <c r="G21" s="22">
        <v>0</v>
      </c>
      <c r="H21" s="23">
        <v>10.003</v>
      </c>
      <c r="I21" s="24">
        <v>0</v>
      </c>
    </row>
    <row r="22" spans="1:9" x14ac:dyDescent="0.25">
      <c r="A22" s="17" t="s">
        <v>45</v>
      </c>
      <c r="B22" s="17" t="s">
        <v>46</v>
      </c>
      <c r="C22" s="17">
        <v>0.9</v>
      </c>
      <c r="D22" s="18">
        <v>360.15</v>
      </c>
      <c r="E22" s="18">
        <v>360.15</v>
      </c>
      <c r="F22" s="18">
        <v>360.15</v>
      </c>
      <c r="G22" s="18">
        <v>0</v>
      </c>
      <c r="H22" s="19">
        <v>10.003</v>
      </c>
      <c r="I22" s="20">
        <v>0</v>
      </c>
    </row>
    <row r="23" spans="1:9" x14ac:dyDescent="0.25">
      <c r="A23" s="21" t="s">
        <v>45</v>
      </c>
      <c r="B23" s="21" t="s">
        <v>47</v>
      </c>
      <c r="C23" s="21">
        <v>0.9</v>
      </c>
      <c r="D23" s="22">
        <v>355.72</v>
      </c>
      <c r="E23" s="22">
        <v>355.72</v>
      </c>
      <c r="F23" s="22">
        <v>355.72</v>
      </c>
      <c r="G23" s="22">
        <v>0</v>
      </c>
      <c r="H23" s="23">
        <v>10.002000000000001</v>
      </c>
      <c r="I23" s="24">
        <v>0</v>
      </c>
    </row>
    <row r="24" spans="1:9" x14ac:dyDescent="0.25">
      <c r="A24" s="17" t="s">
        <v>45</v>
      </c>
      <c r="B24" s="17" t="s">
        <v>48</v>
      </c>
      <c r="C24" s="17">
        <v>0.9</v>
      </c>
      <c r="D24" s="18">
        <v>355.5</v>
      </c>
      <c r="E24" s="18">
        <v>355.5</v>
      </c>
      <c r="F24" s="18">
        <v>355.5</v>
      </c>
      <c r="G24" s="18">
        <v>0</v>
      </c>
      <c r="H24" s="19">
        <v>10.003</v>
      </c>
      <c r="I24" s="20">
        <v>0</v>
      </c>
    </row>
    <row r="25" spans="1:9" x14ac:dyDescent="0.25">
      <c r="A25" s="21" t="s">
        <v>45</v>
      </c>
      <c r="B25" s="21" t="s">
        <v>49</v>
      </c>
      <c r="C25" s="21">
        <v>0.9</v>
      </c>
      <c r="D25" s="22">
        <v>354.25</v>
      </c>
      <c r="E25" s="22">
        <v>354.25</v>
      </c>
      <c r="F25" s="22">
        <v>354.25</v>
      </c>
      <c r="G25" s="22">
        <v>0</v>
      </c>
      <c r="H25" s="23">
        <v>10.002000000000001</v>
      </c>
      <c r="I25" s="24">
        <v>0</v>
      </c>
    </row>
    <row r="26" spans="1:9" x14ac:dyDescent="0.25">
      <c r="A26" s="17" t="s">
        <v>45</v>
      </c>
      <c r="B26" s="17" t="s">
        <v>50</v>
      </c>
      <c r="C26" s="17">
        <v>0.9</v>
      </c>
      <c r="D26" s="18">
        <v>356.06</v>
      </c>
      <c r="E26" s="18">
        <v>356.06</v>
      </c>
      <c r="F26" s="18">
        <v>356.06</v>
      </c>
      <c r="G26" s="18">
        <v>0</v>
      </c>
      <c r="H26" s="19">
        <v>10.000999999999999</v>
      </c>
      <c r="I26" s="20">
        <v>0</v>
      </c>
    </row>
    <row r="27" spans="1:9" x14ac:dyDescent="0.25">
      <c r="A27" s="21" t="s">
        <v>45</v>
      </c>
      <c r="B27" s="21" t="s">
        <v>46</v>
      </c>
      <c r="C27" s="21" t="s">
        <v>51</v>
      </c>
      <c r="D27" s="22">
        <v>360.15</v>
      </c>
      <c r="E27" s="22">
        <v>360.15</v>
      </c>
      <c r="F27" s="22">
        <v>360.15</v>
      </c>
      <c r="G27" s="22">
        <v>0</v>
      </c>
      <c r="H27" s="23">
        <v>10.002000000000001</v>
      </c>
      <c r="I27" s="24">
        <v>0</v>
      </c>
    </row>
    <row r="28" spans="1:9" x14ac:dyDescent="0.25">
      <c r="A28" s="17" t="s">
        <v>45</v>
      </c>
      <c r="B28" s="17" t="s">
        <v>47</v>
      </c>
      <c r="C28" s="17" t="s">
        <v>51</v>
      </c>
      <c r="D28" s="18">
        <v>355.72</v>
      </c>
      <c r="E28" s="18">
        <v>355.72</v>
      </c>
      <c r="F28" s="18">
        <v>355.72</v>
      </c>
      <c r="G28" s="18">
        <v>0</v>
      </c>
      <c r="H28" s="19">
        <v>10.002000000000001</v>
      </c>
      <c r="I28" s="20">
        <v>0</v>
      </c>
    </row>
    <row r="29" spans="1:9" x14ac:dyDescent="0.25">
      <c r="A29" s="21" t="s">
        <v>45</v>
      </c>
      <c r="B29" s="21" t="s">
        <v>48</v>
      </c>
      <c r="C29" s="21" t="s">
        <v>51</v>
      </c>
      <c r="D29" s="22">
        <v>355.5</v>
      </c>
      <c r="E29" s="22">
        <v>355.5</v>
      </c>
      <c r="F29" s="22">
        <v>355.5</v>
      </c>
      <c r="G29" s="22">
        <v>0</v>
      </c>
      <c r="H29" s="23">
        <v>10.003</v>
      </c>
      <c r="I29" s="24">
        <v>0</v>
      </c>
    </row>
    <row r="30" spans="1:9" x14ac:dyDescent="0.25">
      <c r="A30" s="17" t="s">
        <v>45</v>
      </c>
      <c r="B30" s="17" t="s">
        <v>49</v>
      </c>
      <c r="C30" s="17" t="s">
        <v>51</v>
      </c>
      <c r="D30" s="18">
        <v>354.25</v>
      </c>
      <c r="E30" s="18">
        <v>354.25</v>
      </c>
      <c r="F30" s="18">
        <v>354.25</v>
      </c>
      <c r="G30" s="18">
        <v>0</v>
      </c>
      <c r="H30" s="19">
        <v>10.002000000000001</v>
      </c>
      <c r="I30" s="20">
        <v>0</v>
      </c>
    </row>
    <row r="31" spans="1:9" x14ac:dyDescent="0.25">
      <c r="A31" s="21" t="s">
        <v>45</v>
      </c>
      <c r="B31" s="21" t="s">
        <v>50</v>
      </c>
      <c r="C31" s="21" t="s">
        <v>51</v>
      </c>
      <c r="D31" s="22">
        <v>356.06</v>
      </c>
      <c r="E31" s="22">
        <v>356.06</v>
      </c>
      <c r="F31" s="22">
        <v>356.06</v>
      </c>
      <c r="G31" s="22">
        <v>0</v>
      </c>
      <c r="H31" s="23">
        <v>10.002000000000001</v>
      </c>
      <c r="I31" s="24">
        <v>0</v>
      </c>
    </row>
    <row r="32" spans="1:9" x14ac:dyDescent="0.25">
      <c r="A32" s="17" t="s">
        <v>52</v>
      </c>
      <c r="B32" s="17" t="s">
        <v>53</v>
      </c>
      <c r="C32" s="17">
        <v>0.1</v>
      </c>
      <c r="D32" s="18">
        <v>7688.61</v>
      </c>
      <c r="E32" s="18">
        <v>7720.38</v>
      </c>
      <c r="F32" s="18">
        <v>7651.65</v>
      </c>
      <c r="G32" s="18">
        <v>34.6569</v>
      </c>
      <c r="H32" s="19">
        <v>10.335000000000001</v>
      </c>
      <c r="I32" s="20">
        <v>0.25359999999999999</v>
      </c>
    </row>
    <row r="33" spans="1:9" x14ac:dyDescent="0.25">
      <c r="A33" s="21" t="s">
        <v>52</v>
      </c>
      <c r="B33" s="21" t="s">
        <v>54</v>
      </c>
      <c r="C33" s="21">
        <v>0.1</v>
      </c>
      <c r="D33" s="22">
        <v>7655.99</v>
      </c>
      <c r="E33" s="22">
        <v>7668.68</v>
      </c>
      <c r="F33" s="22">
        <v>7643.29</v>
      </c>
      <c r="G33" s="22">
        <v>12.695</v>
      </c>
      <c r="H33" s="23">
        <v>10.286</v>
      </c>
      <c r="I33" s="24">
        <v>0.25359999999999999</v>
      </c>
    </row>
    <row r="34" spans="1:9" x14ac:dyDescent="0.25">
      <c r="A34" s="17" t="s">
        <v>52</v>
      </c>
      <c r="B34" s="17" t="s">
        <v>55</v>
      </c>
      <c r="C34" s="17">
        <v>0.1</v>
      </c>
      <c r="D34" s="18">
        <v>7717.68</v>
      </c>
      <c r="E34" s="18">
        <v>7752.31</v>
      </c>
      <c r="F34" s="18">
        <v>7683.27</v>
      </c>
      <c r="G34" s="18">
        <v>34.520499999999998</v>
      </c>
      <c r="H34" s="19">
        <v>10.166</v>
      </c>
      <c r="I34" s="20">
        <v>0.25359999999999999</v>
      </c>
    </row>
    <row r="35" spans="1:9" x14ac:dyDescent="0.25">
      <c r="A35" s="21" t="s">
        <v>52</v>
      </c>
      <c r="B35" s="21" t="s">
        <v>56</v>
      </c>
      <c r="C35" s="21">
        <v>0.1</v>
      </c>
      <c r="D35" s="22">
        <v>7679.11</v>
      </c>
      <c r="E35" s="22">
        <v>7706.34</v>
      </c>
      <c r="F35" s="22">
        <v>7651.97</v>
      </c>
      <c r="G35" s="22">
        <v>27.185099999999998</v>
      </c>
      <c r="H35" s="23">
        <v>10.14</v>
      </c>
      <c r="I35" s="24">
        <v>0.25359999999999999</v>
      </c>
    </row>
    <row r="36" spans="1:9" x14ac:dyDescent="0.25">
      <c r="A36" s="17" t="s">
        <v>52</v>
      </c>
      <c r="B36" s="17" t="s">
        <v>57</v>
      </c>
      <c r="C36" s="17">
        <v>0.1</v>
      </c>
      <c r="D36" s="18">
        <v>7731.37</v>
      </c>
      <c r="E36" s="18">
        <v>7739.85</v>
      </c>
      <c r="F36" s="18">
        <v>7715.05</v>
      </c>
      <c r="G36" s="18">
        <v>14.139900000000001</v>
      </c>
      <c r="H36" s="19">
        <v>10.48</v>
      </c>
      <c r="I36" s="20">
        <v>0.25359999999999999</v>
      </c>
    </row>
    <row r="37" spans="1:9" x14ac:dyDescent="0.25">
      <c r="A37" s="21" t="s">
        <v>52</v>
      </c>
      <c r="B37" s="21" t="s">
        <v>53</v>
      </c>
      <c r="C37" s="21">
        <v>0.25</v>
      </c>
      <c r="D37" s="22">
        <v>7691.04</v>
      </c>
      <c r="E37" s="22">
        <v>7706.87</v>
      </c>
      <c r="F37" s="22">
        <v>7671.19</v>
      </c>
      <c r="G37" s="22">
        <v>18.176500000000001</v>
      </c>
      <c r="H37" s="23">
        <v>10.728999999999999</v>
      </c>
      <c r="I37" s="24">
        <v>0.2868</v>
      </c>
    </row>
    <row r="38" spans="1:9" x14ac:dyDescent="0.25">
      <c r="A38" s="17" t="s">
        <v>52</v>
      </c>
      <c r="B38" s="17" t="s">
        <v>54</v>
      </c>
      <c r="C38" s="17">
        <v>0.25</v>
      </c>
      <c r="D38" s="18">
        <v>7657.05</v>
      </c>
      <c r="E38" s="18">
        <v>7681.31</v>
      </c>
      <c r="F38" s="18">
        <v>7635.6</v>
      </c>
      <c r="G38" s="18">
        <v>22.983599999999999</v>
      </c>
      <c r="H38" s="19">
        <v>10.773</v>
      </c>
      <c r="I38" s="20">
        <v>0.2868</v>
      </c>
    </row>
    <row r="39" spans="1:9" x14ac:dyDescent="0.25">
      <c r="A39" s="21" t="s">
        <v>52</v>
      </c>
      <c r="B39" s="21" t="s">
        <v>55</v>
      </c>
      <c r="C39" s="21">
        <v>0.25</v>
      </c>
      <c r="D39" s="22">
        <v>7673.98</v>
      </c>
      <c r="E39" s="22">
        <v>7687.29</v>
      </c>
      <c r="F39" s="22">
        <v>7653.34</v>
      </c>
      <c r="G39" s="22">
        <v>18.123100000000001</v>
      </c>
      <c r="H39" s="23">
        <v>11.446</v>
      </c>
      <c r="I39" s="24">
        <v>0.2868</v>
      </c>
    </row>
    <row r="40" spans="1:9" x14ac:dyDescent="0.25">
      <c r="A40" s="17" t="s">
        <v>52</v>
      </c>
      <c r="B40" s="17" t="s">
        <v>56</v>
      </c>
      <c r="C40" s="17">
        <v>0.25</v>
      </c>
      <c r="D40" s="18">
        <v>7723.23</v>
      </c>
      <c r="E40" s="18">
        <v>7732.64</v>
      </c>
      <c r="F40" s="18">
        <v>7714.41</v>
      </c>
      <c r="G40" s="18">
        <v>9.1295999999999999</v>
      </c>
      <c r="H40" s="19">
        <v>10.941000000000001</v>
      </c>
      <c r="I40" s="20">
        <v>0.2868</v>
      </c>
    </row>
    <row r="41" spans="1:9" x14ac:dyDescent="0.25">
      <c r="A41" s="21" t="s">
        <v>52</v>
      </c>
      <c r="B41" s="21" t="s">
        <v>57</v>
      </c>
      <c r="C41" s="21">
        <v>0.25</v>
      </c>
      <c r="D41" s="22">
        <v>7714.66</v>
      </c>
      <c r="E41" s="22">
        <v>7752.67</v>
      </c>
      <c r="F41" s="22">
        <v>7693.4</v>
      </c>
      <c r="G41" s="22">
        <v>32.994799999999998</v>
      </c>
      <c r="H41" s="23">
        <v>10.79</v>
      </c>
      <c r="I41" s="24">
        <v>0.2868</v>
      </c>
    </row>
    <row r="42" spans="1:9" x14ac:dyDescent="0.25">
      <c r="A42" s="17" t="s">
        <v>52</v>
      </c>
      <c r="B42" s="17" t="s">
        <v>53</v>
      </c>
      <c r="C42" s="17">
        <v>0.5</v>
      </c>
      <c r="D42" s="18">
        <v>7678.87</v>
      </c>
      <c r="E42" s="18">
        <v>7742.57</v>
      </c>
      <c r="F42" s="18">
        <v>7635.4</v>
      </c>
      <c r="G42" s="18">
        <v>56.374499999999998</v>
      </c>
      <c r="H42" s="19">
        <v>11.159000000000001</v>
      </c>
      <c r="I42" s="20">
        <v>0.58160000000000001</v>
      </c>
    </row>
    <row r="43" spans="1:9" x14ac:dyDescent="0.25">
      <c r="A43" s="21" t="s">
        <v>52</v>
      </c>
      <c r="B43" s="21" t="s">
        <v>54</v>
      </c>
      <c r="C43" s="21">
        <v>0.5</v>
      </c>
      <c r="D43" s="22">
        <v>7638.03</v>
      </c>
      <c r="E43" s="22">
        <v>7644.91</v>
      </c>
      <c r="F43" s="22">
        <v>7633.6</v>
      </c>
      <c r="G43" s="22">
        <v>6.0419999999999998</v>
      </c>
      <c r="H43" s="23">
        <v>10.606</v>
      </c>
      <c r="I43" s="24">
        <v>0.58160000000000001</v>
      </c>
    </row>
    <row r="44" spans="1:9" x14ac:dyDescent="0.25">
      <c r="A44" s="17" t="s">
        <v>52</v>
      </c>
      <c r="B44" s="17" t="s">
        <v>55</v>
      </c>
      <c r="C44" s="17">
        <v>0.5</v>
      </c>
      <c r="D44" s="18">
        <v>7650.69</v>
      </c>
      <c r="E44" s="18">
        <v>7677.03</v>
      </c>
      <c r="F44" s="18">
        <v>7629.08</v>
      </c>
      <c r="G44" s="18">
        <v>24.322399999999998</v>
      </c>
      <c r="H44" s="19">
        <v>11.144</v>
      </c>
      <c r="I44" s="20">
        <v>0.58160000000000001</v>
      </c>
    </row>
    <row r="45" spans="1:9" x14ac:dyDescent="0.25">
      <c r="A45" s="21" t="s">
        <v>52</v>
      </c>
      <c r="B45" s="21" t="s">
        <v>56</v>
      </c>
      <c r="C45" s="21">
        <v>0.5</v>
      </c>
      <c r="D45" s="22">
        <v>7665.39</v>
      </c>
      <c r="E45" s="22">
        <v>7706.05</v>
      </c>
      <c r="F45" s="22">
        <v>7635.3</v>
      </c>
      <c r="G45" s="22">
        <v>36.541600000000003</v>
      </c>
      <c r="H45" s="23">
        <v>11.007999999999999</v>
      </c>
      <c r="I45" s="24">
        <v>0.58160000000000001</v>
      </c>
    </row>
    <row r="46" spans="1:9" x14ac:dyDescent="0.25">
      <c r="A46" s="17" t="s">
        <v>52</v>
      </c>
      <c r="B46" s="17" t="s">
        <v>57</v>
      </c>
      <c r="C46" s="17">
        <v>0.5</v>
      </c>
      <c r="D46" s="18">
        <v>7713.26</v>
      </c>
      <c r="E46" s="18">
        <v>7727.9</v>
      </c>
      <c r="F46" s="18">
        <v>7701.78</v>
      </c>
      <c r="G46" s="18">
        <v>13.342499999999999</v>
      </c>
      <c r="H46" s="19">
        <v>11.006</v>
      </c>
      <c r="I46" s="20">
        <v>0.58160000000000001</v>
      </c>
    </row>
    <row r="47" spans="1:9" x14ac:dyDescent="0.25">
      <c r="A47" s="21" t="s">
        <v>52</v>
      </c>
      <c r="B47" s="21" t="s">
        <v>53</v>
      </c>
      <c r="C47" s="21">
        <v>0.75</v>
      </c>
      <c r="D47" s="22">
        <v>7626.04</v>
      </c>
      <c r="E47" s="22">
        <v>7651.71</v>
      </c>
      <c r="F47" s="22">
        <v>7609.5</v>
      </c>
      <c r="G47" s="22">
        <v>22.535499999999999</v>
      </c>
      <c r="H47" s="23">
        <v>10.734999999999999</v>
      </c>
      <c r="I47" s="24">
        <v>0.72719999999999996</v>
      </c>
    </row>
    <row r="48" spans="1:9" x14ac:dyDescent="0.25">
      <c r="A48" s="17" t="s">
        <v>52</v>
      </c>
      <c r="B48" s="17" t="s">
        <v>54</v>
      </c>
      <c r="C48" s="17">
        <v>0.75</v>
      </c>
      <c r="D48" s="18">
        <v>7644.7</v>
      </c>
      <c r="E48" s="18">
        <v>7645.54</v>
      </c>
      <c r="F48" s="18">
        <v>7643.21</v>
      </c>
      <c r="G48" s="18">
        <v>1.2964</v>
      </c>
      <c r="H48" s="19">
        <v>11.223000000000001</v>
      </c>
      <c r="I48" s="20">
        <v>0.72719999999999996</v>
      </c>
    </row>
    <row r="49" spans="1:9" x14ac:dyDescent="0.25">
      <c r="A49" s="21" t="s">
        <v>52</v>
      </c>
      <c r="B49" s="21" t="s">
        <v>55</v>
      </c>
      <c r="C49" s="21">
        <v>0.75</v>
      </c>
      <c r="D49" s="22">
        <v>7648.92</v>
      </c>
      <c r="E49" s="22">
        <v>7689.14</v>
      </c>
      <c r="F49" s="22">
        <v>7618.73</v>
      </c>
      <c r="G49" s="22">
        <v>36.260800000000003</v>
      </c>
      <c r="H49" s="23">
        <v>11.012</v>
      </c>
      <c r="I49" s="24">
        <v>0.72719999999999996</v>
      </c>
    </row>
    <row r="50" spans="1:9" x14ac:dyDescent="0.25">
      <c r="A50" s="17" t="s">
        <v>52</v>
      </c>
      <c r="B50" s="17" t="s">
        <v>56</v>
      </c>
      <c r="C50" s="17">
        <v>0.75</v>
      </c>
      <c r="D50" s="18">
        <v>7675.05</v>
      </c>
      <c r="E50" s="18">
        <v>7712.31</v>
      </c>
      <c r="F50" s="18">
        <v>7643.43</v>
      </c>
      <c r="G50" s="18">
        <v>34.784599999999998</v>
      </c>
      <c r="H50" s="19">
        <v>11.032</v>
      </c>
      <c r="I50" s="20">
        <v>0.72719999999999996</v>
      </c>
    </row>
    <row r="51" spans="1:9" x14ac:dyDescent="0.25">
      <c r="A51" s="21" t="s">
        <v>52</v>
      </c>
      <c r="B51" s="21" t="s">
        <v>57</v>
      </c>
      <c r="C51" s="21">
        <v>0.75</v>
      </c>
      <c r="D51" s="22">
        <v>7695.38</v>
      </c>
      <c r="E51" s="22">
        <v>7727.06</v>
      </c>
      <c r="F51" s="22">
        <v>7667.14</v>
      </c>
      <c r="G51" s="22">
        <v>30.107199999999999</v>
      </c>
      <c r="H51" s="23">
        <v>11.109</v>
      </c>
      <c r="I51" s="24">
        <v>0.72719999999999996</v>
      </c>
    </row>
    <row r="52" spans="1:9" x14ac:dyDescent="0.25">
      <c r="A52" s="17" t="s">
        <v>52</v>
      </c>
      <c r="B52" s="17" t="s">
        <v>53</v>
      </c>
      <c r="C52" s="17">
        <v>0.9</v>
      </c>
      <c r="D52" s="18">
        <v>7703.77</v>
      </c>
      <c r="E52" s="18">
        <v>7754.9</v>
      </c>
      <c r="F52" s="18">
        <v>7647.4</v>
      </c>
      <c r="G52" s="18">
        <v>53.941200000000002</v>
      </c>
      <c r="H52" s="19">
        <v>11.525</v>
      </c>
      <c r="I52" s="20">
        <v>0.55510000000000004</v>
      </c>
    </row>
    <row r="53" spans="1:9" x14ac:dyDescent="0.25">
      <c r="A53" s="21" t="s">
        <v>52</v>
      </c>
      <c r="B53" s="21" t="s">
        <v>54</v>
      </c>
      <c r="C53" s="21">
        <v>0.9</v>
      </c>
      <c r="D53" s="22">
        <v>7648.76</v>
      </c>
      <c r="E53" s="22">
        <v>7682.51</v>
      </c>
      <c r="F53" s="22">
        <v>7627.32</v>
      </c>
      <c r="G53" s="22">
        <v>29.584800000000001</v>
      </c>
      <c r="H53" s="23">
        <v>11.066000000000001</v>
      </c>
      <c r="I53" s="24">
        <v>0.55510000000000004</v>
      </c>
    </row>
    <row r="54" spans="1:9" x14ac:dyDescent="0.25">
      <c r="A54" s="17" t="s">
        <v>52</v>
      </c>
      <c r="B54" s="17" t="s">
        <v>55</v>
      </c>
      <c r="C54" s="17">
        <v>0.9</v>
      </c>
      <c r="D54" s="18">
        <v>7659.76</v>
      </c>
      <c r="E54" s="18">
        <v>7690.85</v>
      </c>
      <c r="F54" s="18">
        <v>7633.02</v>
      </c>
      <c r="G54" s="18">
        <v>29.159400000000002</v>
      </c>
      <c r="H54" s="19">
        <v>11.282999999999999</v>
      </c>
      <c r="I54" s="20">
        <v>0.55510000000000004</v>
      </c>
    </row>
    <row r="55" spans="1:9" x14ac:dyDescent="0.25">
      <c r="A55" s="21" t="s">
        <v>52</v>
      </c>
      <c r="B55" s="21" t="s">
        <v>56</v>
      </c>
      <c r="C55" s="21">
        <v>0.9</v>
      </c>
      <c r="D55" s="22">
        <v>7681.49</v>
      </c>
      <c r="E55" s="22">
        <v>7718.59</v>
      </c>
      <c r="F55" s="22">
        <v>7637.7</v>
      </c>
      <c r="G55" s="22">
        <v>40.857900000000001</v>
      </c>
      <c r="H55" s="23">
        <v>10.654999999999999</v>
      </c>
      <c r="I55" s="24">
        <v>0.55510000000000004</v>
      </c>
    </row>
    <row r="56" spans="1:9" x14ac:dyDescent="0.25">
      <c r="A56" s="17" t="s">
        <v>52</v>
      </c>
      <c r="B56" s="17" t="s">
        <v>57</v>
      </c>
      <c r="C56" s="17">
        <v>0.9</v>
      </c>
      <c r="D56" s="18">
        <v>7662.5</v>
      </c>
      <c r="E56" s="18">
        <v>7679.36</v>
      </c>
      <c r="F56" s="18">
        <v>7649.82</v>
      </c>
      <c r="G56" s="18">
        <v>15.208500000000001</v>
      </c>
      <c r="H56" s="19">
        <v>11.093</v>
      </c>
      <c r="I56" s="20">
        <v>0.55510000000000004</v>
      </c>
    </row>
    <row r="57" spans="1:9" x14ac:dyDescent="0.25">
      <c r="A57" s="21" t="s">
        <v>52</v>
      </c>
      <c r="B57" s="21" t="s">
        <v>53</v>
      </c>
      <c r="C57" s="21" t="s">
        <v>51</v>
      </c>
      <c r="D57" s="22">
        <v>7656.02</v>
      </c>
      <c r="E57" s="22">
        <v>7675.53</v>
      </c>
      <c r="F57" s="22">
        <v>7634.5</v>
      </c>
      <c r="G57" s="22">
        <v>20.588699999999999</v>
      </c>
      <c r="H57" s="23">
        <v>11.692</v>
      </c>
      <c r="I57" s="24">
        <v>0.33729999999999999</v>
      </c>
    </row>
    <row r="58" spans="1:9" x14ac:dyDescent="0.25">
      <c r="A58" s="17" t="s">
        <v>52</v>
      </c>
      <c r="B58" s="17" t="s">
        <v>54</v>
      </c>
      <c r="C58" s="17" t="s">
        <v>51</v>
      </c>
      <c r="D58" s="18">
        <v>7694.46</v>
      </c>
      <c r="E58" s="18">
        <v>7731.54</v>
      </c>
      <c r="F58" s="18">
        <v>7632.85</v>
      </c>
      <c r="G58" s="18">
        <v>53.721299999999999</v>
      </c>
      <c r="H58" s="19">
        <v>10.773</v>
      </c>
      <c r="I58" s="20">
        <v>0.33729999999999999</v>
      </c>
    </row>
    <row r="59" spans="1:9" x14ac:dyDescent="0.25">
      <c r="A59" s="21" t="s">
        <v>52</v>
      </c>
      <c r="B59" s="21" t="s">
        <v>55</v>
      </c>
      <c r="C59" s="21" t="s">
        <v>51</v>
      </c>
      <c r="D59" s="22">
        <v>7695.61</v>
      </c>
      <c r="E59" s="22">
        <v>7710.32</v>
      </c>
      <c r="F59" s="22">
        <v>7668.7</v>
      </c>
      <c r="G59" s="22">
        <v>23.335899999999999</v>
      </c>
      <c r="H59" s="23">
        <v>11.042</v>
      </c>
      <c r="I59" s="24">
        <v>0.33729999999999999</v>
      </c>
    </row>
    <row r="60" spans="1:9" x14ac:dyDescent="0.25">
      <c r="A60" s="17" t="s">
        <v>52</v>
      </c>
      <c r="B60" s="17" t="s">
        <v>56</v>
      </c>
      <c r="C60" s="17" t="s">
        <v>51</v>
      </c>
      <c r="D60" s="18">
        <v>7689.25</v>
      </c>
      <c r="E60" s="18">
        <v>7703.27</v>
      </c>
      <c r="F60" s="18">
        <v>7668.57</v>
      </c>
      <c r="G60" s="18">
        <v>18.2818</v>
      </c>
      <c r="H60" s="19">
        <v>11.125</v>
      </c>
      <c r="I60" s="20">
        <v>0.33729999999999999</v>
      </c>
    </row>
    <row r="61" spans="1:9" x14ac:dyDescent="0.25">
      <c r="A61" s="21" t="s">
        <v>52</v>
      </c>
      <c r="B61" s="21" t="s">
        <v>57</v>
      </c>
      <c r="C61" s="21" t="s">
        <v>51</v>
      </c>
      <c r="D61" s="22">
        <v>7705.03</v>
      </c>
      <c r="E61" s="22">
        <v>7722.3</v>
      </c>
      <c r="F61" s="22">
        <v>7694.77</v>
      </c>
      <c r="G61" s="22">
        <v>15.0466</v>
      </c>
      <c r="H61" s="23">
        <v>11.359</v>
      </c>
      <c r="I61" s="24">
        <v>0.33729999999999999</v>
      </c>
    </row>
    <row r="63" spans="1:9" ht="15" customHeight="1" x14ac:dyDescent="0.25"/>
    <row r="64" spans="1:9" ht="18" customHeight="1" x14ac:dyDescent="0.25"/>
    <row r="65" ht="18" customHeight="1" x14ac:dyDescent="0.25"/>
    <row r="66" ht="18" customHeight="1" x14ac:dyDescent="0.25"/>
    <row r="67" ht="18" customHeight="1" x14ac:dyDescent="0.25"/>
    <row r="68" ht="18" customHeight="1" x14ac:dyDescent="0.25"/>
    <row r="69" ht="18" customHeight="1" x14ac:dyDescent="0.25"/>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1"/>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7109375" defaultRowHeight="15" x14ac:dyDescent="0.25"/>
  <cols>
    <col min="1" max="1" width="7" customWidth="1"/>
    <col min="2" max="2" width="23" customWidth="1"/>
    <col min="3" max="3" width="11" customWidth="1"/>
    <col min="4" max="4" width="5" customWidth="1"/>
    <col min="5" max="6" width="9" customWidth="1"/>
    <col min="7" max="7" width="12" customWidth="1"/>
  </cols>
  <sheetData>
    <row r="1" spans="1:7" ht="30" customHeight="1" x14ac:dyDescent="0.25">
      <c r="A1" s="16" t="s">
        <v>36</v>
      </c>
      <c r="B1" s="16" t="s">
        <v>37</v>
      </c>
      <c r="C1" s="16" t="s">
        <v>38</v>
      </c>
      <c r="D1" s="16" t="s">
        <v>58</v>
      </c>
      <c r="E1" s="16" t="s">
        <v>59</v>
      </c>
      <c r="F1" s="16" t="s">
        <v>60</v>
      </c>
      <c r="G1" s="16" t="s">
        <v>61</v>
      </c>
    </row>
    <row r="2" spans="1:7" ht="25.5" x14ac:dyDescent="0.25">
      <c r="A2" s="17" t="s">
        <v>45</v>
      </c>
      <c r="B2" s="17" t="s">
        <v>46</v>
      </c>
      <c r="C2" s="17">
        <v>0.1</v>
      </c>
      <c r="D2" s="17">
        <v>0</v>
      </c>
      <c r="E2" s="17">
        <v>42</v>
      </c>
      <c r="F2" s="18">
        <v>360.15</v>
      </c>
      <c r="G2" s="19">
        <v>10.000999999999999</v>
      </c>
    </row>
    <row r="3" spans="1:7" ht="25.5" x14ac:dyDescent="0.25">
      <c r="A3" s="21" t="s">
        <v>45</v>
      </c>
      <c r="B3" s="21" t="s">
        <v>46</v>
      </c>
      <c r="C3" s="21">
        <v>0.1</v>
      </c>
      <c r="D3" s="21">
        <v>1</v>
      </c>
      <c r="E3" s="21">
        <v>43</v>
      </c>
      <c r="F3" s="22">
        <v>360.15</v>
      </c>
      <c r="G3" s="23">
        <v>10.000999999999999</v>
      </c>
    </row>
    <row r="4" spans="1:7" ht="25.5" x14ac:dyDescent="0.25">
      <c r="A4" s="17" t="s">
        <v>45</v>
      </c>
      <c r="B4" s="17" t="s">
        <v>46</v>
      </c>
      <c r="C4" s="17">
        <v>0.1</v>
      </c>
      <c r="D4" s="17">
        <v>2</v>
      </c>
      <c r="E4" s="17">
        <v>44</v>
      </c>
      <c r="F4" s="18">
        <v>360.15</v>
      </c>
      <c r="G4" s="19">
        <v>10</v>
      </c>
    </row>
    <row r="5" spans="1:7" ht="25.5" x14ac:dyDescent="0.25">
      <c r="A5" s="21" t="s">
        <v>45</v>
      </c>
      <c r="B5" s="21" t="s">
        <v>47</v>
      </c>
      <c r="C5" s="21">
        <v>0.1</v>
      </c>
      <c r="D5" s="21">
        <v>0</v>
      </c>
      <c r="E5" s="21">
        <v>42</v>
      </c>
      <c r="F5" s="22">
        <v>355.72</v>
      </c>
      <c r="G5" s="23">
        <v>10</v>
      </c>
    </row>
    <row r="6" spans="1:7" ht="25.5" x14ac:dyDescent="0.25">
      <c r="A6" s="17" t="s">
        <v>45</v>
      </c>
      <c r="B6" s="17" t="s">
        <v>47</v>
      </c>
      <c r="C6" s="17">
        <v>0.1</v>
      </c>
      <c r="D6" s="17">
        <v>1</v>
      </c>
      <c r="E6" s="17">
        <v>43</v>
      </c>
      <c r="F6" s="18">
        <v>355.72</v>
      </c>
      <c r="G6" s="19">
        <v>10.003</v>
      </c>
    </row>
    <row r="7" spans="1:7" ht="25.5" x14ac:dyDescent="0.25">
      <c r="A7" s="21" t="s">
        <v>45</v>
      </c>
      <c r="B7" s="21" t="s">
        <v>47</v>
      </c>
      <c r="C7" s="21">
        <v>0.1</v>
      </c>
      <c r="D7" s="21">
        <v>2</v>
      </c>
      <c r="E7" s="21">
        <v>44</v>
      </c>
      <c r="F7" s="22">
        <v>355.72</v>
      </c>
      <c r="G7" s="23">
        <v>10.004</v>
      </c>
    </row>
    <row r="8" spans="1:7" ht="25.5" x14ac:dyDescent="0.25">
      <c r="A8" s="17" t="s">
        <v>45</v>
      </c>
      <c r="B8" s="17" t="s">
        <v>48</v>
      </c>
      <c r="C8" s="17">
        <v>0.1</v>
      </c>
      <c r="D8" s="17">
        <v>0</v>
      </c>
      <c r="E8" s="17">
        <v>42</v>
      </c>
      <c r="F8" s="18">
        <v>355.5</v>
      </c>
      <c r="G8" s="19">
        <v>10.000999999999999</v>
      </c>
    </row>
    <row r="9" spans="1:7" ht="25.5" x14ac:dyDescent="0.25">
      <c r="A9" s="21" t="s">
        <v>45</v>
      </c>
      <c r="B9" s="21" t="s">
        <v>48</v>
      </c>
      <c r="C9" s="21">
        <v>0.1</v>
      </c>
      <c r="D9" s="21">
        <v>1</v>
      </c>
      <c r="E9" s="21">
        <v>43</v>
      </c>
      <c r="F9" s="22">
        <v>355.5</v>
      </c>
      <c r="G9" s="23">
        <v>10.000999999999999</v>
      </c>
    </row>
    <row r="10" spans="1:7" ht="25.5" x14ac:dyDescent="0.25">
      <c r="A10" s="17" t="s">
        <v>45</v>
      </c>
      <c r="B10" s="17" t="s">
        <v>48</v>
      </c>
      <c r="C10" s="17">
        <v>0.1</v>
      </c>
      <c r="D10" s="17">
        <v>2</v>
      </c>
      <c r="E10" s="17">
        <v>44</v>
      </c>
      <c r="F10" s="18">
        <v>355.5</v>
      </c>
      <c r="G10" s="19">
        <v>10.000999999999999</v>
      </c>
    </row>
    <row r="11" spans="1:7" ht="25.5" x14ac:dyDescent="0.25">
      <c r="A11" s="21" t="s">
        <v>45</v>
      </c>
      <c r="B11" s="21" t="s">
        <v>49</v>
      </c>
      <c r="C11" s="21">
        <v>0.1</v>
      </c>
      <c r="D11" s="21">
        <v>0</v>
      </c>
      <c r="E11" s="21">
        <v>42</v>
      </c>
      <c r="F11" s="22">
        <v>354.25</v>
      </c>
      <c r="G11" s="23">
        <v>10.000999999999999</v>
      </c>
    </row>
    <row r="12" spans="1:7" ht="25.5" x14ac:dyDescent="0.25">
      <c r="A12" s="17" t="s">
        <v>45</v>
      </c>
      <c r="B12" s="17" t="s">
        <v>49</v>
      </c>
      <c r="C12" s="17">
        <v>0.1</v>
      </c>
      <c r="D12" s="17">
        <v>1</v>
      </c>
      <c r="E12" s="17">
        <v>43</v>
      </c>
      <c r="F12" s="18">
        <v>354.25</v>
      </c>
      <c r="G12" s="19">
        <v>10.000999999999999</v>
      </c>
    </row>
    <row r="13" spans="1:7" ht="25.5" x14ac:dyDescent="0.25">
      <c r="A13" s="21" t="s">
        <v>45</v>
      </c>
      <c r="B13" s="21" t="s">
        <v>49</v>
      </c>
      <c r="C13" s="21">
        <v>0.1</v>
      </c>
      <c r="D13" s="21">
        <v>2</v>
      </c>
      <c r="E13" s="21">
        <v>44</v>
      </c>
      <c r="F13" s="22">
        <v>354.25</v>
      </c>
      <c r="G13" s="23">
        <v>10</v>
      </c>
    </row>
    <row r="14" spans="1:7" ht="25.5" x14ac:dyDescent="0.25">
      <c r="A14" s="17" t="s">
        <v>45</v>
      </c>
      <c r="B14" s="17" t="s">
        <v>50</v>
      </c>
      <c r="C14" s="17">
        <v>0.1</v>
      </c>
      <c r="D14" s="17">
        <v>0</v>
      </c>
      <c r="E14" s="17">
        <v>42</v>
      </c>
      <c r="F14" s="18">
        <v>356.06</v>
      </c>
      <c r="G14" s="19">
        <v>10.000999999999999</v>
      </c>
    </row>
    <row r="15" spans="1:7" ht="25.5" x14ac:dyDescent="0.25">
      <c r="A15" s="21" t="s">
        <v>45</v>
      </c>
      <c r="B15" s="21" t="s">
        <v>50</v>
      </c>
      <c r="C15" s="21">
        <v>0.1</v>
      </c>
      <c r="D15" s="21">
        <v>1</v>
      </c>
      <c r="E15" s="21">
        <v>43</v>
      </c>
      <c r="F15" s="22">
        <v>356.06</v>
      </c>
      <c r="G15" s="23">
        <v>10</v>
      </c>
    </row>
    <row r="16" spans="1:7" ht="25.5" x14ac:dyDescent="0.25">
      <c r="A16" s="17" t="s">
        <v>45</v>
      </c>
      <c r="B16" s="17" t="s">
        <v>50</v>
      </c>
      <c r="C16" s="17">
        <v>0.1</v>
      </c>
      <c r="D16" s="17">
        <v>2</v>
      </c>
      <c r="E16" s="17">
        <v>44</v>
      </c>
      <c r="F16" s="18">
        <v>356.06</v>
      </c>
      <c r="G16" s="19">
        <v>10</v>
      </c>
    </row>
    <row r="17" spans="1:7" ht="25.5" x14ac:dyDescent="0.25">
      <c r="A17" s="21" t="s">
        <v>45</v>
      </c>
      <c r="B17" s="21" t="s">
        <v>46</v>
      </c>
      <c r="C17" s="21">
        <v>0.25</v>
      </c>
      <c r="D17" s="21">
        <v>0</v>
      </c>
      <c r="E17" s="21">
        <v>42</v>
      </c>
      <c r="F17" s="22">
        <v>360.15</v>
      </c>
      <c r="G17" s="23">
        <v>10.004</v>
      </c>
    </row>
    <row r="18" spans="1:7" ht="25.5" x14ac:dyDescent="0.25">
      <c r="A18" s="17" t="s">
        <v>45</v>
      </c>
      <c r="B18" s="17" t="s">
        <v>46</v>
      </c>
      <c r="C18" s="17">
        <v>0.25</v>
      </c>
      <c r="D18" s="17">
        <v>1</v>
      </c>
      <c r="E18" s="17">
        <v>43</v>
      </c>
      <c r="F18" s="18">
        <v>360.15</v>
      </c>
      <c r="G18" s="19">
        <v>10</v>
      </c>
    </row>
    <row r="19" spans="1:7" ht="25.5" x14ac:dyDescent="0.25">
      <c r="A19" s="21" t="s">
        <v>45</v>
      </c>
      <c r="B19" s="21" t="s">
        <v>46</v>
      </c>
      <c r="C19" s="21">
        <v>0.25</v>
      </c>
      <c r="D19" s="21">
        <v>2</v>
      </c>
      <c r="E19" s="21">
        <v>44</v>
      </c>
      <c r="F19" s="22">
        <v>360.15</v>
      </c>
      <c r="G19" s="23">
        <v>10</v>
      </c>
    </row>
    <row r="20" spans="1:7" ht="25.5" x14ac:dyDescent="0.25">
      <c r="A20" s="17" t="s">
        <v>45</v>
      </c>
      <c r="B20" s="17" t="s">
        <v>47</v>
      </c>
      <c r="C20" s="17">
        <v>0.25</v>
      </c>
      <c r="D20" s="17">
        <v>0</v>
      </c>
      <c r="E20" s="17">
        <v>42</v>
      </c>
      <c r="F20" s="18">
        <v>355.72</v>
      </c>
      <c r="G20" s="19">
        <v>10.002000000000001</v>
      </c>
    </row>
    <row r="21" spans="1:7" ht="25.5" x14ac:dyDescent="0.25">
      <c r="A21" s="21" t="s">
        <v>45</v>
      </c>
      <c r="B21" s="21" t="s">
        <v>47</v>
      </c>
      <c r="C21" s="21">
        <v>0.25</v>
      </c>
      <c r="D21" s="21">
        <v>1</v>
      </c>
      <c r="E21" s="21">
        <v>43</v>
      </c>
      <c r="F21" s="22">
        <v>355.72</v>
      </c>
      <c r="G21" s="23">
        <v>10.003</v>
      </c>
    </row>
    <row r="22" spans="1:7" ht="25.5" x14ac:dyDescent="0.25">
      <c r="A22" s="17" t="s">
        <v>45</v>
      </c>
      <c r="B22" s="17" t="s">
        <v>47</v>
      </c>
      <c r="C22" s="17">
        <v>0.25</v>
      </c>
      <c r="D22" s="17">
        <v>2</v>
      </c>
      <c r="E22" s="17">
        <v>44</v>
      </c>
      <c r="F22" s="18">
        <v>355.72</v>
      </c>
      <c r="G22" s="19">
        <v>10.002000000000001</v>
      </c>
    </row>
    <row r="23" spans="1:7" ht="25.5" x14ac:dyDescent="0.25">
      <c r="A23" s="21" t="s">
        <v>45</v>
      </c>
      <c r="B23" s="21" t="s">
        <v>48</v>
      </c>
      <c r="C23" s="21">
        <v>0.25</v>
      </c>
      <c r="D23" s="21">
        <v>0</v>
      </c>
      <c r="E23" s="21">
        <v>42</v>
      </c>
      <c r="F23" s="22">
        <v>355.5</v>
      </c>
      <c r="G23" s="23">
        <v>10</v>
      </c>
    </row>
    <row r="24" spans="1:7" ht="25.5" x14ac:dyDescent="0.25">
      <c r="A24" s="17" t="s">
        <v>45</v>
      </c>
      <c r="B24" s="17" t="s">
        <v>48</v>
      </c>
      <c r="C24" s="17">
        <v>0.25</v>
      </c>
      <c r="D24" s="17">
        <v>1</v>
      </c>
      <c r="E24" s="17">
        <v>43</v>
      </c>
      <c r="F24" s="18">
        <v>355.5</v>
      </c>
      <c r="G24" s="19">
        <v>10</v>
      </c>
    </row>
    <row r="25" spans="1:7" ht="25.5" x14ac:dyDescent="0.25">
      <c r="A25" s="21" t="s">
        <v>45</v>
      </c>
      <c r="B25" s="21" t="s">
        <v>48</v>
      </c>
      <c r="C25" s="21">
        <v>0.25</v>
      </c>
      <c r="D25" s="21">
        <v>2</v>
      </c>
      <c r="E25" s="21">
        <v>44</v>
      </c>
      <c r="F25" s="22">
        <v>355.5</v>
      </c>
      <c r="G25" s="23">
        <v>10.003</v>
      </c>
    </row>
    <row r="26" spans="1:7" ht="25.5" x14ac:dyDescent="0.25">
      <c r="A26" s="17" t="s">
        <v>45</v>
      </c>
      <c r="B26" s="17" t="s">
        <v>49</v>
      </c>
      <c r="C26" s="17">
        <v>0.25</v>
      </c>
      <c r="D26" s="17">
        <v>0</v>
      </c>
      <c r="E26" s="17">
        <v>42</v>
      </c>
      <c r="F26" s="18">
        <v>354.25</v>
      </c>
      <c r="G26" s="19">
        <v>10.000999999999999</v>
      </c>
    </row>
    <row r="27" spans="1:7" ht="25.5" x14ac:dyDescent="0.25">
      <c r="A27" s="21" t="s">
        <v>45</v>
      </c>
      <c r="B27" s="21" t="s">
        <v>49</v>
      </c>
      <c r="C27" s="21">
        <v>0.25</v>
      </c>
      <c r="D27" s="21">
        <v>1</v>
      </c>
      <c r="E27" s="21">
        <v>43</v>
      </c>
      <c r="F27" s="22">
        <v>354.25</v>
      </c>
      <c r="G27" s="23">
        <v>10.000999999999999</v>
      </c>
    </row>
    <row r="28" spans="1:7" ht="25.5" x14ac:dyDescent="0.25">
      <c r="A28" s="17" t="s">
        <v>45</v>
      </c>
      <c r="B28" s="17" t="s">
        <v>49</v>
      </c>
      <c r="C28" s="17">
        <v>0.25</v>
      </c>
      <c r="D28" s="17">
        <v>2</v>
      </c>
      <c r="E28" s="17">
        <v>44</v>
      </c>
      <c r="F28" s="18">
        <v>354.25</v>
      </c>
      <c r="G28" s="19">
        <v>10</v>
      </c>
    </row>
    <row r="29" spans="1:7" ht="25.5" x14ac:dyDescent="0.25">
      <c r="A29" s="21" t="s">
        <v>45</v>
      </c>
      <c r="B29" s="21" t="s">
        <v>50</v>
      </c>
      <c r="C29" s="21">
        <v>0.25</v>
      </c>
      <c r="D29" s="21">
        <v>0</v>
      </c>
      <c r="E29" s="21">
        <v>42</v>
      </c>
      <c r="F29" s="22">
        <v>356.06</v>
      </c>
      <c r="G29" s="23">
        <v>10.000999999999999</v>
      </c>
    </row>
    <row r="30" spans="1:7" ht="25.5" x14ac:dyDescent="0.25">
      <c r="A30" s="17" t="s">
        <v>45</v>
      </c>
      <c r="B30" s="17" t="s">
        <v>50</v>
      </c>
      <c r="C30" s="17">
        <v>0.25</v>
      </c>
      <c r="D30" s="17">
        <v>1</v>
      </c>
      <c r="E30" s="17">
        <v>43</v>
      </c>
      <c r="F30" s="18">
        <v>356.06</v>
      </c>
      <c r="G30" s="19">
        <v>10</v>
      </c>
    </row>
    <row r="31" spans="1:7" ht="25.5" x14ac:dyDescent="0.25">
      <c r="A31" s="21" t="s">
        <v>45</v>
      </c>
      <c r="B31" s="21" t="s">
        <v>50</v>
      </c>
      <c r="C31" s="21">
        <v>0.25</v>
      </c>
      <c r="D31" s="21">
        <v>2</v>
      </c>
      <c r="E31" s="21">
        <v>44</v>
      </c>
      <c r="F31" s="22">
        <v>356.06</v>
      </c>
      <c r="G31" s="23">
        <v>10</v>
      </c>
    </row>
    <row r="32" spans="1:7" ht="25.5" x14ac:dyDescent="0.25">
      <c r="A32" s="17" t="s">
        <v>45</v>
      </c>
      <c r="B32" s="17" t="s">
        <v>46</v>
      </c>
      <c r="C32" s="17">
        <v>0.5</v>
      </c>
      <c r="D32" s="17">
        <v>0</v>
      </c>
      <c r="E32" s="17">
        <v>42</v>
      </c>
      <c r="F32" s="18">
        <v>360.15</v>
      </c>
      <c r="G32" s="19">
        <v>10.003</v>
      </c>
    </row>
    <row r="33" spans="1:7" ht="25.5" x14ac:dyDescent="0.25">
      <c r="A33" s="21" t="s">
        <v>45</v>
      </c>
      <c r="B33" s="21" t="s">
        <v>46</v>
      </c>
      <c r="C33" s="21">
        <v>0.5</v>
      </c>
      <c r="D33" s="21">
        <v>1</v>
      </c>
      <c r="E33" s="21">
        <v>43</v>
      </c>
      <c r="F33" s="22">
        <v>360.15</v>
      </c>
      <c r="G33" s="23">
        <v>10.002000000000001</v>
      </c>
    </row>
    <row r="34" spans="1:7" ht="25.5" x14ac:dyDescent="0.25">
      <c r="A34" s="17" t="s">
        <v>45</v>
      </c>
      <c r="B34" s="17" t="s">
        <v>46</v>
      </c>
      <c r="C34" s="17">
        <v>0.5</v>
      </c>
      <c r="D34" s="17">
        <v>2</v>
      </c>
      <c r="E34" s="17">
        <v>44</v>
      </c>
      <c r="F34" s="18">
        <v>360.15</v>
      </c>
      <c r="G34" s="19">
        <v>10.006</v>
      </c>
    </row>
    <row r="35" spans="1:7" ht="25.5" x14ac:dyDescent="0.25">
      <c r="A35" s="21" t="s">
        <v>45</v>
      </c>
      <c r="B35" s="21" t="s">
        <v>47</v>
      </c>
      <c r="C35" s="21">
        <v>0.5</v>
      </c>
      <c r="D35" s="21">
        <v>0</v>
      </c>
      <c r="E35" s="21">
        <v>42</v>
      </c>
      <c r="F35" s="22">
        <v>355.72</v>
      </c>
      <c r="G35" s="23">
        <v>10.003</v>
      </c>
    </row>
    <row r="36" spans="1:7" ht="25.5" x14ac:dyDescent="0.25">
      <c r="A36" s="17" t="s">
        <v>45</v>
      </c>
      <c r="B36" s="17" t="s">
        <v>47</v>
      </c>
      <c r="C36" s="17">
        <v>0.5</v>
      </c>
      <c r="D36" s="17">
        <v>1</v>
      </c>
      <c r="E36" s="17">
        <v>43</v>
      </c>
      <c r="F36" s="18">
        <v>355.72</v>
      </c>
      <c r="G36" s="19">
        <v>10</v>
      </c>
    </row>
    <row r="37" spans="1:7" ht="25.5" x14ac:dyDescent="0.25">
      <c r="A37" s="21" t="s">
        <v>45</v>
      </c>
      <c r="B37" s="21" t="s">
        <v>47</v>
      </c>
      <c r="C37" s="21">
        <v>0.5</v>
      </c>
      <c r="D37" s="21">
        <v>2</v>
      </c>
      <c r="E37" s="21">
        <v>44</v>
      </c>
      <c r="F37" s="22">
        <v>355.72</v>
      </c>
      <c r="G37" s="23">
        <v>10.002000000000001</v>
      </c>
    </row>
    <row r="38" spans="1:7" ht="25.5" x14ac:dyDescent="0.25">
      <c r="A38" s="17" t="s">
        <v>45</v>
      </c>
      <c r="B38" s="17" t="s">
        <v>48</v>
      </c>
      <c r="C38" s="17">
        <v>0.5</v>
      </c>
      <c r="D38" s="17">
        <v>0</v>
      </c>
      <c r="E38" s="17">
        <v>42</v>
      </c>
      <c r="F38" s="18">
        <v>355.5</v>
      </c>
      <c r="G38" s="19">
        <v>10.000999999999999</v>
      </c>
    </row>
    <row r="39" spans="1:7" ht="25.5" x14ac:dyDescent="0.25">
      <c r="A39" s="21" t="s">
        <v>45</v>
      </c>
      <c r="B39" s="21" t="s">
        <v>48</v>
      </c>
      <c r="C39" s="21">
        <v>0.5</v>
      </c>
      <c r="D39" s="21">
        <v>1</v>
      </c>
      <c r="E39" s="21">
        <v>43</v>
      </c>
      <c r="F39" s="22">
        <v>355.5</v>
      </c>
      <c r="G39" s="23">
        <v>10.005000000000001</v>
      </c>
    </row>
    <row r="40" spans="1:7" ht="25.5" x14ac:dyDescent="0.25">
      <c r="A40" s="17" t="s">
        <v>45</v>
      </c>
      <c r="B40" s="17" t="s">
        <v>48</v>
      </c>
      <c r="C40" s="17">
        <v>0.5</v>
      </c>
      <c r="D40" s="17">
        <v>2</v>
      </c>
      <c r="E40" s="17">
        <v>44</v>
      </c>
      <c r="F40" s="18">
        <v>355.5</v>
      </c>
      <c r="G40" s="19">
        <v>10.002000000000001</v>
      </c>
    </row>
    <row r="41" spans="1:7" ht="25.5" x14ac:dyDescent="0.25">
      <c r="A41" s="21" t="s">
        <v>45</v>
      </c>
      <c r="B41" s="21" t="s">
        <v>49</v>
      </c>
      <c r="C41" s="21">
        <v>0.5</v>
      </c>
      <c r="D41" s="21">
        <v>0</v>
      </c>
      <c r="E41" s="21">
        <v>42</v>
      </c>
      <c r="F41" s="22">
        <v>354.25</v>
      </c>
      <c r="G41" s="23">
        <v>10.002000000000001</v>
      </c>
    </row>
    <row r="42" spans="1:7" ht="25.5" x14ac:dyDescent="0.25">
      <c r="A42" s="17" t="s">
        <v>45</v>
      </c>
      <c r="B42" s="17" t="s">
        <v>49</v>
      </c>
      <c r="C42" s="17">
        <v>0.5</v>
      </c>
      <c r="D42" s="17">
        <v>1</v>
      </c>
      <c r="E42" s="17">
        <v>43</v>
      </c>
      <c r="F42" s="18">
        <v>354.25</v>
      </c>
      <c r="G42" s="19">
        <v>10.002000000000001</v>
      </c>
    </row>
    <row r="43" spans="1:7" ht="25.5" x14ac:dyDescent="0.25">
      <c r="A43" s="21" t="s">
        <v>45</v>
      </c>
      <c r="B43" s="21" t="s">
        <v>49</v>
      </c>
      <c r="C43" s="21">
        <v>0.5</v>
      </c>
      <c r="D43" s="21">
        <v>2</v>
      </c>
      <c r="E43" s="21">
        <v>44</v>
      </c>
      <c r="F43" s="22">
        <v>354.25</v>
      </c>
      <c r="G43" s="23">
        <v>10.002000000000001</v>
      </c>
    </row>
    <row r="44" spans="1:7" ht="25.5" x14ac:dyDescent="0.25">
      <c r="A44" s="17" t="s">
        <v>45</v>
      </c>
      <c r="B44" s="17" t="s">
        <v>50</v>
      </c>
      <c r="C44" s="17">
        <v>0.5</v>
      </c>
      <c r="D44" s="17">
        <v>0</v>
      </c>
      <c r="E44" s="17">
        <v>42</v>
      </c>
      <c r="F44" s="18">
        <v>356.06</v>
      </c>
      <c r="G44" s="19">
        <v>10.003</v>
      </c>
    </row>
    <row r="45" spans="1:7" ht="25.5" x14ac:dyDescent="0.25">
      <c r="A45" s="21" t="s">
        <v>45</v>
      </c>
      <c r="B45" s="21" t="s">
        <v>50</v>
      </c>
      <c r="C45" s="21">
        <v>0.5</v>
      </c>
      <c r="D45" s="21">
        <v>1</v>
      </c>
      <c r="E45" s="21">
        <v>43</v>
      </c>
      <c r="F45" s="22">
        <v>356.06</v>
      </c>
      <c r="G45" s="23">
        <v>10.000999999999999</v>
      </c>
    </row>
    <row r="46" spans="1:7" ht="25.5" x14ac:dyDescent="0.25">
      <c r="A46" s="17" t="s">
        <v>45</v>
      </c>
      <c r="B46" s="17" t="s">
        <v>50</v>
      </c>
      <c r="C46" s="17">
        <v>0.5</v>
      </c>
      <c r="D46" s="17">
        <v>2</v>
      </c>
      <c r="E46" s="17">
        <v>44</v>
      </c>
      <c r="F46" s="18">
        <v>356.06</v>
      </c>
      <c r="G46" s="19">
        <v>10.002000000000001</v>
      </c>
    </row>
    <row r="47" spans="1:7" ht="25.5" x14ac:dyDescent="0.25">
      <c r="A47" s="21" t="s">
        <v>45</v>
      </c>
      <c r="B47" s="21" t="s">
        <v>46</v>
      </c>
      <c r="C47" s="21">
        <v>0.75</v>
      </c>
      <c r="D47" s="21">
        <v>0</v>
      </c>
      <c r="E47" s="21">
        <v>42</v>
      </c>
      <c r="F47" s="22">
        <v>360.15</v>
      </c>
      <c r="G47" s="23">
        <v>10.000999999999999</v>
      </c>
    </row>
    <row r="48" spans="1:7" ht="25.5" x14ac:dyDescent="0.25">
      <c r="A48" s="17" t="s">
        <v>45</v>
      </c>
      <c r="B48" s="17" t="s">
        <v>46</v>
      </c>
      <c r="C48" s="17">
        <v>0.75</v>
      </c>
      <c r="D48" s="17">
        <v>1</v>
      </c>
      <c r="E48" s="17">
        <v>43</v>
      </c>
      <c r="F48" s="18">
        <v>360.15</v>
      </c>
      <c r="G48" s="19">
        <v>10.002000000000001</v>
      </c>
    </row>
    <row r="49" spans="1:7" ht="25.5" x14ac:dyDescent="0.25">
      <c r="A49" s="21" t="s">
        <v>45</v>
      </c>
      <c r="B49" s="21" t="s">
        <v>46</v>
      </c>
      <c r="C49" s="21">
        <v>0.75</v>
      </c>
      <c r="D49" s="21">
        <v>2</v>
      </c>
      <c r="E49" s="21">
        <v>44</v>
      </c>
      <c r="F49" s="22">
        <v>360.15</v>
      </c>
      <c r="G49" s="23">
        <v>10.005000000000001</v>
      </c>
    </row>
    <row r="50" spans="1:7" ht="25.5" x14ac:dyDescent="0.25">
      <c r="A50" s="17" t="s">
        <v>45</v>
      </c>
      <c r="B50" s="17" t="s">
        <v>47</v>
      </c>
      <c r="C50" s="17">
        <v>0.75</v>
      </c>
      <c r="D50" s="17">
        <v>0</v>
      </c>
      <c r="E50" s="17">
        <v>42</v>
      </c>
      <c r="F50" s="18">
        <v>355.72</v>
      </c>
      <c r="G50" s="19">
        <v>10.004</v>
      </c>
    </row>
    <row r="51" spans="1:7" ht="25.5" x14ac:dyDescent="0.25">
      <c r="A51" s="21" t="s">
        <v>45</v>
      </c>
      <c r="B51" s="21" t="s">
        <v>47</v>
      </c>
      <c r="C51" s="21">
        <v>0.75</v>
      </c>
      <c r="D51" s="21">
        <v>1</v>
      </c>
      <c r="E51" s="21">
        <v>43</v>
      </c>
      <c r="F51" s="22">
        <v>355.72</v>
      </c>
      <c r="G51" s="23">
        <v>10.000999999999999</v>
      </c>
    </row>
    <row r="52" spans="1:7" ht="25.5" x14ac:dyDescent="0.25">
      <c r="A52" s="17" t="s">
        <v>45</v>
      </c>
      <c r="B52" s="17" t="s">
        <v>47</v>
      </c>
      <c r="C52" s="17">
        <v>0.75</v>
      </c>
      <c r="D52" s="17">
        <v>2</v>
      </c>
      <c r="E52" s="17">
        <v>44</v>
      </c>
      <c r="F52" s="18">
        <v>355.72</v>
      </c>
      <c r="G52" s="19">
        <v>10.003</v>
      </c>
    </row>
    <row r="53" spans="1:7" ht="25.5" x14ac:dyDescent="0.25">
      <c r="A53" s="21" t="s">
        <v>45</v>
      </c>
      <c r="B53" s="21" t="s">
        <v>48</v>
      </c>
      <c r="C53" s="21">
        <v>0.75</v>
      </c>
      <c r="D53" s="21">
        <v>0</v>
      </c>
      <c r="E53" s="21">
        <v>42</v>
      </c>
      <c r="F53" s="22">
        <v>355.5</v>
      </c>
      <c r="G53" s="23">
        <v>10</v>
      </c>
    </row>
    <row r="54" spans="1:7" ht="25.5" x14ac:dyDescent="0.25">
      <c r="A54" s="17" t="s">
        <v>45</v>
      </c>
      <c r="B54" s="17" t="s">
        <v>48</v>
      </c>
      <c r="C54" s="17">
        <v>0.75</v>
      </c>
      <c r="D54" s="17">
        <v>1</v>
      </c>
      <c r="E54" s="17">
        <v>43</v>
      </c>
      <c r="F54" s="18">
        <v>355.5</v>
      </c>
      <c r="G54" s="19">
        <v>10.004</v>
      </c>
    </row>
    <row r="55" spans="1:7" ht="25.5" x14ac:dyDescent="0.25">
      <c r="A55" s="21" t="s">
        <v>45</v>
      </c>
      <c r="B55" s="21" t="s">
        <v>48</v>
      </c>
      <c r="C55" s="21">
        <v>0.75</v>
      </c>
      <c r="D55" s="21">
        <v>2</v>
      </c>
      <c r="E55" s="21">
        <v>44</v>
      </c>
      <c r="F55" s="22">
        <v>355.5</v>
      </c>
      <c r="G55" s="23">
        <v>10.002000000000001</v>
      </c>
    </row>
    <row r="56" spans="1:7" ht="25.5" x14ac:dyDescent="0.25">
      <c r="A56" s="17" t="s">
        <v>45</v>
      </c>
      <c r="B56" s="17" t="s">
        <v>49</v>
      </c>
      <c r="C56" s="17">
        <v>0.75</v>
      </c>
      <c r="D56" s="17">
        <v>0</v>
      </c>
      <c r="E56" s="17">
        <v>42</v>
      </c>
      <c r="F56" s="18">
        <v>354.25</v>
      </c>
      <c r="G56" s="19">
        <v>10.002000000000001</v>
      </c>
    </row>
    <row r="57" spans="1:7" ht="25.5" x14ac:dyDescent="0.25">
      <c r="A57" s="21" t="s">
        <v>45</v>
      </c>
      <c r="B57" s="21" t="s">
        <v>49</v>
      </c>
      <c r="C57" s="21">
        <v>0.75</v>
      </c>
      <c r="D57" s="21">
        <v>1</v>
      </c>
      <c r="E57" s="21">
        <v>43</v>
      </c>
      <c r="F57" s="22">
        <v>354.25</v>
      </c>
      <c r="G57" s="23">
        <v>10.000999999999999</v>
      </c>
    </row>
    <row r="58" spans="1:7" ht="25.5" x14ac:dyDescent="0.25">
      <c r="A58" s="17" t="s">
        <v>45</v>
      </c>
      <c r="B58" s="17" t="s">
        <v>49</v>
      </c>
      <c r="C58" s="17">
        <v>0.75</v>
      </c>
      <c r="D58" s="17">
        <v>2</v>
      </c>
      <c r="E58" s="17">
        <v>44</v>
      </c>
      <c r="F58" s="18">
        <v>354.25</v>
      </c>
      <c r="G58" s="19">
        <v>10.004</v>
      </c>
    </row>
    <row r="59" spans="1:7" ht="25.5" x14ac:dyDescent="0.25">
      <c r="A59" s="21" t="s">
        <v>45</v>
      </c>
      <c r="B59" s="21" t="s">
        <v>50</v>
      </c>
      <c r="C59" s="21">
        <v>0.75</v>
      </c>
      <c r="D59" s="21">
        <v>0</v>
      </c>
      <c r="E59" s="21">
        <v>42</v>
      </c>
      <c r="F59" s="22">
        <v>356.06</v>
      </c>
      <c r="G59" s="23">
        <v>10</v>
      </c>
    </row>
    <row r="60" spans="1:7" ht="25.5" x14ac:dyDescent="0.25">
      <c r="A60" s="17" t="s">
        <v>45</v>
      </c>
      <c r="B60" s="17" t="s">
        <v>50</v>
      </c>
      <c r="C60" s="17">
        <v>0.75</v>
      </c>
      <c r="D60" s="17">
        <v>1</v>
      </c>
      <c r="E60" s="17">
        <v>43</v>
      </c>
      <c r="F60" s="18">
        <v>356.06</v>
      </c>
      <c r="G60" s="19">
        <v>10.006</v>
      </c>
    </row>
    <row r="61" spans="1:7" ht="25.5" x14ac:dyDescent="0.25">
      <c r="A61" s="21" t="s">
        <v>45</v>
      </c>
      <c r="B61" s="21" t="s">
        <v>50</v>
      </c>
      <c r="C61" s="21">
        <v>0.75</v>
      </c>
      <c r="D61" s="21">
        <v>2</v>
      </c>
      <c r="E61" s="21">
        <v>44</v>
      </c>
      <c r="F61" s="22">
        <v>356.06</v>
      </c>
      <c r="G61" s="23">
        <v>10.002000000000001</v>
      </c>
    </row>
    <row r="62" spans="1:7" ht="25.5" x14ac:dyDescent="0.25">
      <c r="A62" s="17" t="s">
        <v>45</v>
      </c>
      <c r="B62" s="17" t="s">
        <v>46</v>
      </c>
      <c r="C62" s="17">
        <v>0.9</v>
      </c>
      <c r="D62" s="17">
        <v>0</v>
      </c>
      <c r="E62" s="17">
        <v>42</v>
      </c>
      <c r="F62" s="18">
        <v>360.15</v>
      </c>
      <c r="G62" s="19">
        <v>10.003</v>
      </c>
    </row>
    <row r="63" spans="1:7" ht="25.5" x14ac:dyDescent="0.25">
      <c r="A63" s="21" t="s">
        <v>45</v>
      </c>
      <c r="B63" s="21" t="s">
        <v>46</v>
      </c>
      <c r="C63" s="21">
        <v>0.9</v>
      </c>
      <c r="D63" s="21">
        <v>1</v>
      </c>
      <c r="E63" s="21">
        <v>43</v>
      </c>
      <c r="F63" s="22">
        <v>360.15</v>
      </c>
      <c r="G63" s="23">
        <v>10.002000000000001</v>
      </c>
    </row>
    <row r="64" spans="1:7" ht="25.5" x14ac:dyDescent="0.25">
      <c r="A64" s="17" t="s">
        <v>45</v>
      </c>
      <c r="B64" s="17" t="s">
        <v>46</v>
      </c>
      <c r="C64" s="17">
        <v>0.9</v>
      </c>
      <c r="D64" s="17">
        <v>2</v>
      </c>
      <c r="E64" s="17">
        <v>44</v>
      </c>
      <c r="F64" s="18">
        <v>360.15</v>
      </c>
      <c r="G64" s="19">
        <v>10.004</v>
      </c>
    </row>
    <row r="65" spans="1:7" ht="25.5" x14ac:dyDescent="0.25">
      <c r="A65" s="21" t="s">
        <v>45</v>
      </c>
      <c r="B65" s="21" t="s">
        <v>47</v>
      </c>
      <c r="C65" s="21">
        <v>0.9</v>
      </c>
      <c r="D65" s="21">
        <v>0</v>
      </c>
      <c r="E65" s="21">
        <v>42</v>
      </c>
      <c r="F65" s="22">
        <v>355.72</v>
      </c>
      <c r="G65" s="23">
        <v>10.000999999999999</v>
      </c>
    </row>
    <row r="66" spans="1:7" ht="25.5" x14ac:dyDescent="0.25">
      <c r="A66" s="17" t="s">
        <v>45</v>
      </c>
      <c r="B66" s="17" t="s">
        <v>47</v>
      </c>
      <c r="C66" s="17">
        <v>0.9</v>
      </c>
      <c r="D66" s="17">
        <v>1</v>
      </c>
      <c r="E66" s="17">
        <v>43</v>
      </c>
      <c r="F66" s="18">
        <v>355.72</v>
      </c>
      <c r="G66" s="19">
        <v>10.004</v>
      </c>
    </row>
    <row r="67" spans="1:7" ht="25.5" x14ac:dyDescent="0.25">
      <c r="A67" s="21" t="s">
        <v>45</v>
      </c>
      <c r="B67" s="21" t="s">
        <v>47</v>
      </c>
      <c r="C67" s="21">
        <v>0.9</v>
      </c>
      <c r="D67" s="21">
        <v>2</v>
      </c>
      <c r="E67" s="21">
        <v>44</v>
      </c>
      <c r="F67" s="22">
        <v>355.72</v>
      </c>
      <c r="G67" s="23">
        <v>10</v>
      </c>
    </row>
    <row r="68" spans="1:7" ht="25.5" x14ac:dyDescent="0.25">
      <c r="A68" s="17" t="s">
        <v>45</v>
      </c>
      <c r="B68" s="17" t="s">
        <v>48</v>
      </c>
      <c r="C68" s="17">
        <v>0.9</v>
      </c>
      <c r="D68" s="17">
        <v>0</v>
      </c>
      <c r="E68" s="17">
        <v>42</v>
      </c>
      <c r="F68" s="18">
        <v>355.5</v>
      </c>
      <c r="G68" s="19">
        <v>10.002000000000001</v>
      </c>
    </row>
    <row r="69" spans="1:7" ht="25.5" x14ac:dyDescent="0.25">
      <c r="A69" s="21" t="s">
        <v>45</v>
      </c>
      <c r="B69" s="21" t="s">
        <v>48</v>
      </c>
      <c r="C69" s="21">
        <v>0.9</v>
      </c>
      <c r="D69" s="21">
        <v>1</v>
      </c>
      <c r="E69" s="21">
        <v>43</v>
      </c>
      <c r="F69" s="22">
        <v>355.5</v>
      </c>
      <c r="G69" s="23">
        <v>10.002000000000001</v>
      </c>
    </row>
    <row r="70" spans="1:7" ht="25.5" x14ac:dyDescent="0.25">
      <c r="A70" s="17" t="s">
        <v>45</v>
      </c>
      <c r="B70" s="17" t="s">
        <v>48</v>
      </c>
      <c r="C70" s="17">
        <v>0.9</v>
      </c>
      <c r="D70" s="17">
        <v>2</v>
      </c>
      <c r="E70" s="17">
        <v>44</v>
      </c>
      <c r="F70" s="18">
        <v>355.5</v>
      </c>
      <c r="G70" s="19">
        <v>10.004</v>
      </c>
    </row>
    <row r="71" spans="1:7" ht="25.5" x14ac:dyDescent="0.25">
      <c r="A71" s="21" t="s">
        <v>45</v>
      </c>
      <c r="B71" s="21" t="s">
        <v>49</v>
      </c>
      <c r="C71" s="21">
        <v>0.9</v>
      </c>
      <c r="D71" s="21">
        <v>0</v>
      </c>
      <c r="E71" s="21">
        <v>42</v>
      </c>
      <c r="F71" s="22">
        <v>354.25</v>
      </c>
      <c r="G71" s="23">
        <v>10.002000000000001</v>
      </c>
    </row>
    <row r="72" spans="1:7" ht="25.5" x14ac:dyDescent="0.25">
      <c r="A72" s="17" t="s">
        <v>45</v>
      </c>
      <c r="B72" s="17" t="s">
        <v>49</v>
      </c>
      <c r="C72" s="17">
        <v>0.9</v>
      </c>
      <c r="D72" s="17">
        <v>1</v>
      </c>
      <c r="E72" s="17">
        <v>43</v>
      </c>
      <c r="F72" s="18">
        <v>354.25</v>
      </c>
      <c r="G72" s="19">
        <v>10.002000000000001</v>
      </c>
    </row>
    <row r="73" spans="1:7" ht="25.5" x14ac:dyDescent="0.25">
      <c r="A73" s="21" t="s">
        <v>45</v>
      </c>
      <c r="B73" s="21" t="s">
        <v>49</v>
      </c>
      <c r="C73" s="21">
        <v>0.9</v>
      </c>
      <c r="D73" s="21">
        <v>2</v>
      </c>
      <c r="E73" s="21">
        <v>44</v>
      </c>
      <c r="F73" s="22">
        <v>354.25</v>
      </c>
      <c r="G73" s="23">
        <v>10.000999999999999</v>
      </c>
    </row>
    <row r="74" spans="1:7" ht="25.5" x14ac:dyDescent="0.25">
      <c r="A74" s="17" t="s">
        <v>45</v>
      </c>
      <c r="B74" s="17" t="s">
        <v>50</v>
      </c>
      <c r="C74" s="17">
        <v>0.9</v>
      </c>
      <c r="D74" s="17">
        <v>0</v>
      </c>
      <c r="E74" s="17">
        <v>42</v>
      </c>
      <c r="F74" s="18">
        <v>356.06</v>
      </c>
      <c r="G74" s="19">
        <v>10.003</v>
      </c>
    </row>
    <row r="75" spans="1:7" ht="25.5" x14ac:dyDescent="0.25">
      <c r="A75" s="21" t="s">
        <v>45</v>
      </c>
      <c r="B75" s="21" t="s">
        <v>50</v>
      </c>
      <c r="C75" s="21">
        <v>0.9</v>
      </c>
      <c r="D75" s="21">
        <v>1</v>
      </c>
      <c r="E75" s="21">
        <v>43</v>
      </c>
      <c r="F75" s="22">
        <v>356.06</v>
      </c>
      <c r="G75" s="23">
        <v>10</v>
      </c>
    </row>
    <row r="76" spans="1:7" ht="25.5" x14ac:dyDescent="0.25">
      <c r="A76" s="17" t="s">
        <v>45</v>
      </c>
      <c r="B76" s="17" t="s">
        <v>50</v>
      </c>
      <c r="C76" s="17">
        <v>0.9</v>
      </c>
      <c r="D76" s="17">
        <v>2</v>
      </c>
      <c r="E76" s="17">
        <v>44</v>
      </c>
      <c r="F76" s="18">
        <v>356.06</v>
      </c>
      <c r="G76" s="19">
        <v>10</v>
      </c>
    </row>
    <row r="77" spans="1:7" ht="25.5" x14ac:dyDescent="0.25">
      <c r="A77" s="21" t="s">
        <v>45</v>
      </c>
      <c r="B77" s="21" t="s">
        <v>46</v>
      </c>
      <c r="C77" s="21" t="s">
        <v>51</v>
      </c>
      <c r="D77" s="21">
        <v>0</v>
      </c>
      <c r="E77" s="21">
        <v>42</v>
      </c>
      <c r="F77" s="22">
        <v>360.15</v>
      </c>
      <c r="G77" s="23">
        <v>10.000999999999999</v>
      </c>
    </row>
    <row r="78" spans="1:7" ht="25.5" x14ac:dyDescent="0.25">
      <c r="A78" s="17" t="s">
        <v>45</v>
      </c>
      <c r="B78" s="17" t="s">
        <v>46</v>
      </c>
      <c r="C78" s="17" t="s">
        <v>51</v>
      </c>
      <c r="D78" s="17">
        <v>1</v>
      </c>
      <c r="E78" s="17">
        <v>43</v>
      </c>
      <c r="F78" s="18">
        <v>360.15</v>
      </c>
      <c r="G78" s="19">
        <v>10.004</v>
      </c>
    </row>
    <row r="79" spans="1:7" ht="25.5" x14ac:dyDescent="0.25">
      <c r="A79" s="21" t="s">
        <v>45</v>
      </c>
      <c r="B79" s="21" t="s">
        <v>46</v>
      </c>
      <c r="C79" s="21" t="s">
        <v>51</v>
      </c>
      <c r="D79" s="21">
        <v>2</v>
      </c>
      <c r="E79" s="21">
        <v>44</v>
      </c>
      <c r="F79" s="22">
        <v>360.15</v>
      </c>
      <c r="G79" s="23">
        <v>10</v>
      </c>
    </row>
    <row r="80" spans="1:7" ht="25.5" x14ac:dyDescent="0.25">
      <c r="A80" s="17" t="s">
        <v>45</v>
      </c>
      <c r="B80" s="17" t="s">
        <v>47</v>
      </c>
      <c r="C80" s="17" t="s">
        <v>51</v>
      </c>
      <c r="D80" s="17">
        <v>0</v>
      </c>
      <c r="E80" s="17">
        <v>42</v>
      </c>
      <c r="F80" s="18">
        <v>355.72</v>
      </c>
      <c r="G80" s="19">
        <v>10</v>
      </c>
    </row>
    <row r="81" spans="1:7" ht="25.5" x14ac:dyDescent="0.25">
      <c r="A81" s="21" t="s">
        <v>45</v>
      </c>
      <c r="B81" s="21" t="s">
        <v>47</v>
      </c>
      <c r="C81" s="21" t="s">
        <v>51</v>
      </c>
      <c r="D81" s="21">
        <v>1</v>
      </c>
      <c r="E81" s="21">
        <v>43</v>
      </c>
      <c r="F81" s="22">
        <v>355.72</v>
      </c>
      <c r="G81" s="23">
        <v>10.003</v>
      </c>
    </row>
    <row r="82" spans="1:7" ht="25.5" x14ac:dyDescent="0.25">
      <c r="A82" s="17" t="s">
        <v>45</v>
      </c>
      <c r="B82" s="17" t="s">
        <v>47</v>
      </c>
      <c r="C82" s="17" t="s">
        <v>51</v>
      </c>
      <c r="D82" s="17">
        <v>2</v>
      </c>
      <c r="E82" s="17">
        <v>44</v>
      </c>
      <c r="F82" s="18">
        <v>355.72</v>
      </c>
      <c r="G82" s="19">
        <v>10.003</v>
      </c>
    </row>
    <row r="83" spans="1:7" ht="25.5" x14ac:dyDescent="0.25">
      <c r="A83" s="21" t="s">
        <v>45</v>
      </c>
      <c r="B83" s="21" t="s">
        <v>48</v>
      </c>
      <c r="C83" s="21" t="s">
        <v>51</v>
      </c>
      <c r="D83" s="21">
        <v>0</v>
      </c>
      <c r="E83" s="21">
        <v>42</v>
      </c>
      <c r="F83" s="22">
        <v>355.5</v>
      </c>
      <c r="G83" s="23">
        <v>10.003</v>
      </c>
    </row>
    <row r="84" spans="1:7" ht="25.5" x14ac:dyDescent="0.25">
      <c r="A84" s="17" t="s">
        <v>45</v>
      </c>
      <c r="B84" s="17" t="s">
        <v>48</v>
      </c>
      <c r="C84" s="17" t="s">
        <v>51</v>
      </c>
      <c r="D84" s="17">
        <v>1</v>
      </c>
      <c r="E84" s="17">
        <v>43</v>
      </c>
      <c r="F84" s="18">
        <v>355.5</v>
      </c>
      <c r="G84" s="19">
        <v>10.005000000000001</v>
      </c>
    </row>
    <row r="85" spans="1:7" ht="25.5" x14ac:dyDescent="0.25">
      <c r="A85" s="21" t="s">
        <v>45</v>
      </c>
      <c r="B85" s="21" t="s">
        <v>48</v>
      </c>
      <c r="C85" s="21" t="s">
        <v>51</v>
      </c>
      <c r="D85" s="21">
        <v>2</v>
      </c>
      <c r="E85" s="21">
        <v>44</v>
      </c>
      <c r="F85" s="22">
        <v>355.5</v>
      </c>
      <c r="G85" s="23">
        <v>10.002000000000001</v>
      </c>
    </row>
    <row r="86" spans="1:7" ht="25.5" x14ac:dyDescent="0.25">
      <c r="A86" s="17" t="s">
        <v>45</v>
      </c>
      <c r="B86" s="17" t="s">
        <v>49</v>
      </c>
      <c r="C86" s="17" t="s">
        <v>51</v>
      </c>
      <c r="D86" s="17">
        <v>0</v>
      </c>
      <c r="E86" s="17">
        <v>42</v>
      </c>
      <c r="F86" s="18">
        <v>354.25</v>
      </c>
      <c r="G86" s="19">
        <v>10.000999999999999</v>
      </c>
    </row>
    <row r="87" spans="1:7" ht="25.5" x14ac:dyDescent="0.25">
      <c r="A87" s="21" t="s">
        <v>45</v>
      </c>
      <c r="B87" s="21" t="s">
        <v>49</v>
      </c>
      <c r="C87" s="21" t="s">
        <v>51</v>
      </c>
      <c r="D87" s="21">
        <v>1</v>
      </c>
      <c r="E87" s="21">
        <v>43</v>
      </c>
      <c r="F87" s="22">
        <v>354.25</v>
      </c>
      <c r="G87" s="23">
        <v>10.000999999999999</v>
      </c>
    </row>
    <row r="88" spans="1:7" ht="25.5" x14ac:dyDescent="0.25">
      <c r="A88" s="17" t="s">
        <v>45</v>
      </c>
      <c r="B88" s="17" t="s">
        <v>49</v>
      </c>
      <c r="C88" s="17" t="s">
        <v>51</v>
      </c>
      <c r="D88" s="17">
        <v>2</v>
      </c>
      <c r="E88" s="17">
        <v>44</v>
      </c>
      <c r="F88" s="18">
        <v>354.25</v>
      </c>
      <c r="G88" s="19">
        <v>10.003</v>
      </c>
    </row>
    <row r="89" spans="1:7" ht="25.5" x14ac:dyDescent="0.25">
      <c r="A89" s="21" t="s">
        <v>45</v>
      </c>
      <c r="B89" s="21" t="s">
        <v>50</v>
      </c>
      <c r="C89" s="21" t="s">
        <v>51</v>
      </c>
      <c r="D89" s="21">
        <v>0</v>
      </c>
      <c r="E89" s="21">
        <v>42</v>
      </c>
      <c r="F89" s="22">
        <v>356.06</v>
      </c>
      <c r="G89" s="23">
        <v>10.000999999999999</v>
      </c>
    </row>
    <row r="90" spans="1:7" ht="25.5" x14ac:dyDescent="0.25">
      <c r="A90" s="17" t="s">
        <v>45</v>
      </c>
      <c r="B90" s="17" t="s">
        <v>50</v>
      </c>
      <c r="C90" s="17" t="s">
        <v>51</v>
      </c>
      <c r="D90" s="17">
        <v>1</v>
      </c>
      <c r="E90" s="17">
        <v>43</v>
      </c>
      <c r="F90" s="18">
        <v>356.06</v>
      </c>
      <c r="G90" s="19">
        <v>10.003</v>
      </c>
    </row>
    <row r="91" spans="1:7" ht="25.5" x14ac:dyDescent="0.25">
      <c r="A91" s="21" t="s">
        <v>45</v>
      </c>
      <c r="B91" s="21" t="s">
        <v>50</v>
      </c>
      <c r="C91" s="21" t="s">
        <v>51</v>
      </c>
      <c r="D91" s="21">
        <v>2</v>
      </c>
      <c r="E91" s="21">
        <v>44</v>
      </c>
      <c r="F91" s="22">
        <v>356.06</v>
      </c>
      <c r="G91" s="23">
        <v>10.002000000000001</v>
      </c>
    </row>
    <row r="92" spans="1:7" ht="25.5" x14ac:dyDescent="0.25">
      <c r="A92" s="17" t="s">
        <v>52</v>
      </c>
      <c r="B92" s="17" t="s">
        <v>53</v>
      </c>
      <c r="C92" s="17">
        <v>0.1</v>
      </c>
      <c r="D92" s="17">
        <v>0</v>
      </c>
      <c r="E92" s="17">
        <v>42</v>
      </c>
      <c r="F92" s="18">
        <v>7720.38</v>
      </c>
      <c r="G92" s="19">
        <v>10.534000000000001</v>
      </c>
    </row>
    <row r="93" spans="1:7" ht="25.5" x14ac:dyDescent="0.25">
      <c r="A93" s="21" t="s">
        <v>52</v>
      </c>
      <c r="B93" s="21" t="s">
        <v>53</v>
      </c>
      <c r="C93" s="21">
        <v>0.1</v>
      </c>
      <c r="D93" s="21">
        <v>1</v>
      </c>
      <c r="E93" s="21">
        <v>43</v>
      </c>
      <c r="F93" s="22">
        <v>7651.65</v>
      </c>
      <c r="G93" s="23">
        <v>10.09</v>
      </c>
    </row>
    <row r="94" spans="1:7" ht="25.5" x14ac:dyDescent="0.25">
      <c r="A94" s="17" t="s">
        <v>52</v>
      </c>
      <c r="B94" s="17" t="s">
        <v>53</v>
      </c>
      <c r="C94" s="17">
        <v>0.1</v>
      </c>
      <c r="D94" s="17">
        <v>2</v>
      </c>
      <c r="E94" s="17">
        <v>44</v>
      </c>
      <c r="F94" s="18">
        <v>7693.79</v>
      </c>
      <c r="G94" s="19">
        <v>10.382</v>
      </c>
    </row>
    <row r="95" spans="1:7" ht="25.5" x14ac:dyDescent="0.25">
      <c r="A95" s="21" t="s">
        <v>52</v>
      </c>
      <c r="B95" s="21" t="s">
        <v>54</v>
      </c>
      <c r="C95" s="21">
        <v>0.1</v>
      </c>
      <c r="D95" s="21">
        <v>0</v>
      </c>
      <c r="E95" s="21">
        <v>42</v>
      </c>
      <c r="F95" s="22">
        <v>7668.68</v>
      </c>
      <c r="G95" s="23">
        <v>10.250999999999999</v>
      </c>
    </row>
    <row r="96" spans="1:7" ht="25.5" x14ac:dyDescent="0.25">
      <c r="A96" s="17" t="s">
        <v>52</v>
      </c>
      <c r="B96" s="17" t="s">
        <v>54</v>
      </c>
      <c r="C96" s="17">
        <v>0.1</v>
      </c>
      <c r="D96" s="17">
        <v>1</v>
      </c>
      <c r="E96" s="17">
        <v>43</v>
      </c>
      <c r="F96" s="18">
        <v>7656</v>
      </c>
      <c r="G96" s="19">
        <v>10.023999999999999</v>
      </c>
    </row>
    <row r="97" spans="1:7" ht="25.5" x14ac:dyDescent="0.25">
      <c r="A97" s="21" t="s">
        <v>52</v>
      </c>
      <c r="B97" s="21" t="s">
        <v>54</v>
      </c>
      <c r="C97" s="21">
        <v>0.1</v>
      </c>
      <c r="D97" s="21">
        <v>2</v>
      </c>
      <c r="E97" s="21">
        <v>44</v>
      </c>
      <c r="F97" s="22">
        <v>7643.29</v>
      </c>
      <c r="G97" s="23">
        <v>10.583</v>
      </c>
    </row>
    <row r="98" spans="1:7" ht="25.5" x14ac:dyDescent="0.25">
      <c r="A98" s="17" t="s">
        <v>52</v>
      </c>
      <c r="B98" s="17" t="s">
        <v>55</v>
      </c>
      <c r="C98" s="17">
        <v>0.1</v>
      </c>
      <c r="D98" s="17">
        <v>0</v>
      </c>
      <c r="E98" s="17">
        <v>42</v>
      </c>
      <c r="F98" s="18">
        <v>7752.31</v>
      </c>
      <c r="G98" s="19">
        <v>10.08</v>
      </c>
    </row>
    <row r="99" spans="1:7" ht="25.5" x14ac:dyDescent="0.25">
      <c r="A99" s="21" t="s">
        <v>52</v>
      </c>
      <c r="B99" s="21" t="s">
        <v>55</v>
      </c>
      <c r="C99" s="21">
        <v>0.1</v>
      </c>
      <c r="D99" s="21">
        <v>1</v>
      </c>
      <c r="E99" s="21">
        <v>43</v>
      </c>
      <c r="F99" s="22">
        <v>7717.46</v>
      </c>
      <c r="G99" s="23">
        <v>10.351000000000001</v>
      </c>
    </row>
    <row r="100" spans="1:7" ht="25.5" x14ac:dyDescent="0.25">
      <c r="A100" s="17" t="s">
        <v>52</v>
      </c>
      <c r="B100" s="17" t="s">
        <v>55</v>
      </c>
      <c r="C100" s="17">
        <v>0.1</v>
      </c>
      <c r="D100" s="17">
        <v>2</v>
      </c>
      <c r="E100" s="17">
        <v>44</v>
      </c>
      <c r="F100" s="18">
        <v>7683.27</v>
      </c>
      <c r="G100" s="19">
        <v>10.066000000000001</v>
      </c>
    </row>
    <row r="101" spans="1:7" ht="25.5" x14ac:dyDescent="0.25">
      <c r="A101" s="21" t="s">
        <v>52</v>
      </c>
      <c r="B101" s="21" t="s">
        <v>56</v>
      </c>
      <c r="C101" s="21">
        <v>0.1</v>
      </c>
      <c r="D101" s="21">
        <v>0</v>
      </c>
      <c r="E101" s="21">
        <v>42</v>
      </c>
      <c r="F101" s="22">
        <v>7706.34</v>
      </c>
      <c r="G101" s="23">
        <v>10.029999999999999</v>
      </c>
    </row>
    <row r="102" spans="1:7" ht="25.5" x14ac:dyDescent="0.25">
      <c r="A102" s="17" t="s">
        <v>52</v>
      </c>
      <c r="B102" s="17" t="s">
        <v>56</v>
      </c>
      <c r="C102" s="17">
        <v>0.1</v>
      </c>
      <c r="D102" s="17">
        <v>1</v>
      </c>
      <c r="E102" s="17">
        <v>43</v>
      </c>
      <c r="F102" s="18">
        <v>7651.97</v>
      </c>
      <c r="G102" s="19">
        <v>10.314</v>
      </c>
    </row>
    <row r="103" spans="1:7" ht="25.5" x14ac:dyDescent="0.25">
      <c r="A103" s="21" t="s">
        <v>52</v>
      </c>
      <c r="B103" s="21" t="s">
        <v>56</v>
      </c>
      <c r="C103" s="21">
        <v>0.1</v>
      </c>
      <c r="D103" s="21">
        <v>2</v>
      </c>
      <c r="E103" s="21">
        <v>44</v>
      </c>
      <c r="F103" s="22">
        <v>7679.01</v>
      </c>
      <c r="G103" s="23">
        <v>10.074999999999999</v>
      </c>
    </row>
    <row r="104" spans="1:7" ht="25.5" x14ac:dyDescent="0.25">
      <c r="A104" s="17" t="s">
        <v>52</v>
      </c>
      <c r="B104" s="17" t="s">
        <v>57</v>
      </c>
      <c r="C104" s="17">
        <v>0.1</v>
      </c>
      <c r="D104" s="17">
        <v>0</v>
      </c>
      <c r="E104" s="17">
        <v>42</v>
      </c>
      <c r="F104" s="18">
        <v>7715.05</v>
      </c>
      <c r="G104" s="19">
        <v>10.448</v>
      </c>
    </row>
    <row r="105" spans="1:7" ht="25.5" x14ac:dyDescent="0.25">
      <c r="A105" s="21" t="s">
        <v>52</v>
      </c>
      <c r="B105" s="21" t="s">
        <v>57</v>
      </c>
      <c r="C105" s="21">
        <v>0.1</v>
      </c>
      <c r="D105" s="21">
        <v>1</v>
      </c>
      <c r="E105" s="21">
        <v>43</v>
      </c>
      <c r="F105" s="22">
        <v>7739.22</v>
      </c>
      <c r="G105" s="23">
        <v>10.228</v>
      </c>
    </row>
    <row r="106" spans="1:7" ht="25.5" x14ac:dyDescent="0.25">
      <c r="A106" s="17" t="s">
        <v>52</v>
      </c>
      <c r="B106" s="17" t="s">
        <v>57</v>
      </c>
      <c r="C106" s="17">
        <v>0.1</v>
      </c>
      <c r="D106" s="17">
        <v>2</v>
      </c>
      <c r="E106" s="17">
        <v>44</v>
      </c>
      <c r="F106" s="18">
        <v>7739.85</v>
      </c>
      <c r="G106" s="19">
        <v>10.765000000000001</v>
      </c>
    </row>
    <row r="107" spans="1:7" ht="25.5" x14ac:dyDescent="0.25">
      <c r="A107" s="21" t="s">
        <v>52</v>
      </c>
      <c r="B107" s="21" t="s">
        <v>53</v>
      </c>
      <c r="C107" s="21">
        <v>0.25</v>
      </c>
      <c r="D107" s="21">
        <v>0</v>
      </c>
      <c r="E107" s="21">
        <v>42</v>
      </c>
      <c r="F107" s="22">
        <v>7695.06</v>
      </c>
      <c r="G107" s="23">
        <v>10.885999999999999</v>
      </c>
    </row>
    <row r="108" spans="1:7" ht="25.5" x14ac:dyDescent="0.25">
      <c r="A108" s="17" t="s">
        <v>52</v>
      </c>
      <c r="B108" s="17" t="s">
        <v>53</v>
      </c>
      <c r="C108" s="17">
        <v>0.25</v>
      </c>
      <c r="D108" s="17">
        <v>1</v>
      </c>
      <c r="E108" s="17">
        <v>43</v>
      </c>
      <c r="F108" s="18">
        <v>7671.19</v>
      </c>
      <c r="G108" s="19">
        <v>10.634</v>
      </c>
    </row>
    <row r="109" spans="1:7" ht="25.5" x14ac:dyDescent="0.25">
      <c r="A109" s="21" t="s">
        <v>52</v>
      </c>
      <c r="B109" s="21" t="s">
        <v>53</v>
      </c>
      <c r="C109" s="21">
        <v>0.25</v>
      </c>
      <c r="D109" s="21">
        <v>2</v>
      </c>
      <c r="E109" s="21">
        <v>44</v>
      </c>
      <c r="F109" s="22">
        <v>7706.87</v>
      </c>
      <c r="G109" s="23">
        <v>10.667999999999999</v>
      </c>
    </row>
    <row r="110" spans="1:7" ht="25.5" x14ac:dyDescent="0.25">
      <c r="A110" s="17" t="s">
        <v>52</v>
      </c>
      <c r="B110" s="17" t="s">
        <v>54</v>
      </c>
      <c r="C110" s="17">
        <v>0.25</v>
      </c>
      <c r="D110" s="17">
        <v>0</v>
      </c>
      <c r="E110" s="17">
        <v>42</v>
      </c>
      <c r="F110" s="18">
        <v>7654.25</v>
      </c>
      <c r="G110" s="19">
        <v>11.055</v>
      </c>
    </row>
    <row r="111" spans="1:7" ht="25.5" x14ac:dyDescent="0.25">
      <c r="A111" s="21" t="s">
        <v>52</v>
      </c>
      <c r="B111" s="21" t="s">
        <v>54</v>
      </c>
      <c r="C111" s="21">
        <v>0.25</v>
      </c>
      <c r="D111" s="21">
        <v>1</v>
      </c>
      <c r="E111" s="21">
        <v>43</v>
      </c>
      <c r="F111" s="22">
        <v>7681.31</v>
      </c>
      <c r="G111" s="23">
        <v>10.545</v>
      </c>
    </row>
    <row r="112" spans="1:7" ht="25.5" x14ac:dyDescent="0.25">
      <c r="A112" s="17" t="s">
        <v>52</v>
      </c>
      <c r="B112" s="17" t="s">
        <v>54</v>
      </c>
      <c r="C112" s="17">
        <v>0.25</v>
      </c>
      <c r="D112" s="17">
        <v>2</v>
      </c>
      <c r="E112" s="17">
        <v>44</v>
      </c>
      <c r="F112" s="18">
        <v>7635.6</v>
      </c>
      <c r="G112" s="19">
        <v>10.718999999999999</v>
      </c>
    </row>
    <row r="113" spans="1:7" ht="25.5" x14ac:dyDescent="0.25">
      <c r="A113" s="21" t="s">
        <v>52</v>
      </c>
      <c r="B113" s="21" t="s">
        <v>55</v>
      </c>
      <c r="C113" s="21">
        <v>0.25</v>
      </c>
      <c r="D113" s="21">
        <v>0</v>
      </c>
      <c r="E113" s="21">
        <v>42</v>
      </c>
      <c r="F113" s="22">
        <v>7681.31</v>
      </c>
      <c r="G113" s="23">
        <v>11.541</v>
      </c>
    </row>
    <row r="114" spans="1:7" ht="25.5" x14ac:dyDescent="0.25">
      <c r="A114" s="17" t="s">
        <v>52</v>
      </c>
      <c r="B114" s="17" t="s">
        <v>55</v>
      </c>
      <c r="C114" s="17">
        <v>0.25</v>
      </c>
      <c r="D114" s="17">
        <v>1</v>
      </c>
      <c r="E114" s="17">
        <v>43</v>
      </c>
      <c r="F114" s="18">
        <v>7653.34</v>
      </c>
      <c r="G114" s="19">
        <v>11.054</v>
      </c>
    </row>
    <row r="115" spans="1:7" ht="25.5" x14ac:dyDescent="0.25">
      <c r="A115" s="21" t="s">
        <v>52</v>
      </c>
      <c r="B115" s="21" t="s">
        <v>55</v>
      </c>
      <c r="C115" s="21">
        <v>0.25</v>
      </c>
      <c r="D115" s="21">
        <v>2</v>
      </c>
      <c r="E115" s="21">
        <v>44</v>
      </c>
      <c r="F115" s="22">
        <v>7687.29</v>
      </c>
      <c r="G115" s="23">
        <v>11.744</v>
      </c>
    </row>
    <row r="116" spans="1:7" ht="25.5" x14ac:dyDescent="0.25">
      <c r="A116" s="17" t="s">
        <v>52</v>
      </c>
      <c r="B116" s="17" t="s">
        <v>56</v>
      </c>
      <c r="C116" s="17">
        <v>0.25</v>
      </c>
      <c r="D116" s="17">
        <v>0</v>
      </c>
      <c r="E116" s="17">
        <v>42</v>
      </c>
      <c r="F116" s="18">
        <v>7732.64</v>
      </c>
      <c r="G116" s="19">
        <v>10.823</v>
      </c>
    </row>
    <row r="117" spans="1:7" ht="25.5" x14ac:dyDescent="0.25">
      <c r="A117" s="21" t="s">
        <v>52</v>
      </c>
      <c r="B117" s="21" t="s">
        <v>56</v>
      </c>
      <c r="C117" s="21">
        <v>0.25</v>
      </c>
      <c r="D117" s="21">
        <v>1</v>
      </c>
      <c r="E117" s="21">
        <v>43</v>
      </c>
      <c r="F117" s="22">
        <v>7714.41</v>
      </c>
      <c r="G117" s="23">
        <v>10.664999999999999</v>
      </c>
    </row>
    <row r="118" spans="1:7" ht="25.5" x14ac:dyDescent="0.25">
      <c r="A118" s="17" t="s">
        <v>52</v>
      </c>
      <c r="B118" s="17" t="s">
        <v>56</v>
      </c>
      <c r="C118" s="17">
        <v>0.25</v>
      </c>
      <c r="D118" s="17">
        <v>2</v>
      </c>
      <c r="E118" s="17">
        <v>44</v>
      </c>
      <c r="F118" s="18">
        <v>7722.63</v>
      </c>
      <c r="G118" s="19">
        <v>11.336</v>
      </c>
    </row>
    <row r="119" spans="1:7" ht="25.5" x14ac:dyDescent="0.25">
      <c r="A119" s="21" t="s">
        <v>52</v>
      </c>
      <c r="B119" s="21" t="s">
        <v>57</v>
      </c>
      <c r="C119" s="21">
        <v>0.25</v>
      </c>
      <c r="D119" s="21">
        <v>0</v>
      </c>
      <c r="E119" s="21">
        <v>42</v>
      </c>
      <c r="F119" s="22">
        <v>7752.67</v>
      </c>
      <c r="G119" s="23">
        <v>10.218</v>
      </c>
    </row>
    <row r="120" spans="1:7" ht="25.5" x14ac:dyDescent="0.25">
      <c r="A120" s="17" t="s">
        <v>52</v>
      </c>
      <c r="B120" s="17" t="s">
        <v>57</v>
      </c>
      <c r="C120" s="17">
        <v>0.25</v>
      </c>
      <c r="D120" s="17">
        <v>1</v>
      </c>
      <c r="E120" s="17">
        <v>43</v>
      </c>
      <c r="F120" s="18">
        <v>7693.4</v>
      </c>
      <c r="G120" s="19">
        <v>10.763</v>
      </c>
    </row>
    <row r="121" spans="1:7" ht="25.5" x14ac:dyDescent="0.25">
      <c r="A121" s="21" t="s">
        <v>52</v>
      </c>
      <c r="B121" s="21" t="s">
        <v>57</v>
      </c>
      <c r="C121" s="21">
        <v>0.25</v>
      </c>
      <c r="D121" s="21">
        <v>2</v>
      </c>
      <c r="E121" s="21">
        <v>44</v>
      </c>
      <c r="F121" s="22">
        <v>7697.91</v>
      </c>
      <c r="G121" s="23">
        <v>11.388999999999999</v>
      </c>
    </row>
    <row r="122" spans="1:7" ht="25.5" x14ac:dyDescent="0.25">
      <c r="A122" s="17" t="s">
        <v>52</v>
      </c>
      <c r="B122" s="17" t="s">
        <v>53</v>
      </c>
      <c r="C122" s="17">
        <v>0.5</v>
      </c>
      <c r="D122" s="17">
        <v>0</v>
      </c>
      <c r="E122" s="17">
        <v>42</v>
      </c>
      <c r="F122" s="18">
        <v>7658.65</v>
      </c>
      <c r="G122" s="19">
        <v>10.548999999999999</v>
      </c>
    </row>
    <row r="123" spans="1:7" ht="25.5" x14ac:dyDescent="0.25">
      <c r="A123" s="21" t="s">
        <v>52</v>
      </c>
      <c r="B123" s="21" t="s">
        <v>53</v>
      </c>
      <c r="C123" s="21">
        <v>0.5</v>
      </c>
      <c r="D123" s="21">
        <v>1</v>
      </c>
      <c r="E123" s="21">
        <v>43</v>
      </c>
      <c r="F123" s="22">
        <v>7635.4</v>
      </c>
      <c r="G123" s="23">
        <v>11.734999999999999</v>
      </c>
    </row>
    <row r="124" spans="1:7" ht="25.5" x14ac:dyDescent="0.25">
      <c r="A124" s="17" t="s">
        <v>52</v>
      </c>
      <c r="B124" s="17" t="s">
        <v>53</v>
      </c>
      <c r="C124" s="17">
        <v>0.5</v>
      </c>
      <c r="D124" s="17">
        <v>2</v>
      </c>
      <c r="E124" s="17">
        <v>44</v>
      </c>
      <c r="F124" s="18">
        <v>7742.57</v>
      </c>
      <c r="G124" s="19">
        <v>11.192</v>
      </c>
    </row>
    <row r="125" spans="1:7" ht="25.5" x14ac:dyDescent="0.25">
      <c r="A125" s="21" t="s">
        <v>52</v>
      </c>
      <c r="B125" s="21" t="s">
        <v>54</v>
      </c>
      <c r="C125" s="21">
        <v>0.5</v>
      </c>
      <c r="D125" s="21">
        <v>0</v>
      </c>
      <c r="E125" s="21">
        <v>42</v>
      </c>
      <c r="F125" s="22">
        <v>7644.91</v>
      </c>
      <c r="G125" s="23">
        <v>10.971</v>
      </c>
    </row>
    <row r="126" spans="1:7" ht="25.5" x14ac:dyDescent="0.25">
      <c r="A126" s="17" t="s">
        <v>52</v>
      </c>
      <c r="B126" s="17" t="s">
        <v>54</v>
      </c>
      <c r="C126" s="17">
        <v>0.5</v>
      </c>
      <c r="D126" s="17">
        <v>1</v>
      </c>
      <c r="E126" s="17">
        <v>43</v>
      </c>
      <c r="F126" s="18">
        <v>7635.57</v>
      </c>
      <c r="G126" s="19">
        <v>10.446999999999999</v>
      </c>
    </row>
    <row r="127" spans="1:7" ht="25.5" x14ac:dyDescent="0.25">
      <c r="A127" s="21" t="s">
        <v>52</v>
      </c>
      <c r="B127" s="21" t="s">
        <v>54</v>
      </c>
      <c r="C127" s="21">
        <v>0.5</v>
      </c>
      <c r="D127" s="21">
        <v>2</v>
      </c>
      <c r="E127" s="21">
        <v>44</v>
      </c>
      <c r="F127" s="22">
        <v>7633.6</v>
      </c>
      <c r="G127" s="23">
        <v>10.4</v>
      </c>
    </row>
    <row r="128" spans="1:7" ht="25.5" x14ac:dyDescent="0.25">
      <c r="A128" s="17" t="s">
        <v>52</v>
      </c>
      <c r="B128" s="17" t="s">
        <v>55</v>
      </c>
      <c r="C128" s="17">
        <v>0.5</v>
      </c>
      <c r="D128" s="17">
        <v>0</v>
      </c>
      <c r="E128" s="17">
        <v>42</v>
      </c>
      <c r="F128" s="18">
        <v>7629.08</v>
      </c>
      <c r="G128" s="19">
        <v>11.265000000000001</v>
      </c>
    </row>
    <row r="129" spans="1:7" ht="25.5" x14ac:dyDescent="0.25">
      <c r="A129" s="21" t="s">
        <v>52</v>
      </c>
      <c r="B129" s="21" t="s">
        <v>55</v>
      </c>
      <c r="C129" s="21">
        <v>0.5</v>
      </c>
      <c r="D129" s="21">
        <v>1</v>
      </c>
      <c r="E129" s="21">
        <v>43</v>
      </c>
      <c r="F129" s="22">
        <v>7645.96</v>
      </c>
      <c r="G129" s="23">
        <v>10.015000000000001</v>
      </c>
    </row>
    <row r="130" spans="1:7" ht="25.5" x14ac:dyDescent="0.25">
      <c r="A130" s="17" t="s">
        <v>52</v>
      </c>
      <c r="B130" s="17" t="s">
        <v>55</v>
      </c>
      <c r="C130" s="17">
        <v>0.5</v>
      </c>
      <c r="D130" s="17">
        <v>2</v>
      </c>
      <c r="E130" s="17">
        <v>44</v>
      </c>
      <c r="F130" s="18">
        <v>7677.03</v>
      </c>
      <c r="G130" s="19">
        <v>12.153</v>
      </c>
    </row>
    <row r="131" spans="1:7" ht="25.5" x14ac:dyDescent="0.25">
      <c r="A131" s="21" t="s">
        <v>52</v>
      </c>
      <c r="B131" s="21" t="s">
        <v>56</v>
      </c>
      <c r="C131" s="21">
        <v>0.5</v>
      </c>
      <c r="D131" s="21">
        <v>0</v>
      </c>
      <c r="E131" s="21">
        <v>42</v>
      </c>
      <c r="F131" s="22">
        <v>7706.05</v>
      </c>
      <c r="G131" s="23">
        <v>10.539</v>
      </c>
    </row>
    <row r="132" spans="1:7" ht="25.5" x14ac:dyDescent="0.25">
      <c r="A132" s="17" t="s">
        <v>52</v>
      </c>
      <c r="B132" s="17" t="s">
        <v>56</v>
      </c>
      <c r="C132" s="17">
        <v>0.5</v>
      </c>
      <c r="D132" s="17">
        <v>1</v>
      </c>
      <c r="E132" s="17">
        <v>43</v>
      </c>
      <c r="F132" s="18">
        <v>7635.3</v>
      </c>
      <c r="G132" s="19">
        <v>11.486000000000001</v>
      </c>
    </row>
    <row r="133" spans="1:7" ht="25.5" x14ac:dyDescent="0.25">
      <c r="A133" s="21" t="s">
        <v>52</v>
      </c>
      <c r="B133" s="21" t="s">
        <v>56</v>
      </c>
      <c r="C133" s="21">
        <v>0.5</v>
      </c>
      <c r="D133" s="21">
        <v>2</v>
      </c>
      <c r="E133" s="21">
        <v>44</v>
      </c>
      <c r="F133" s="22">
        <v>7654.81</v>
      </c>
      <c r="G133" s="23">
        <v>11</v>
      </c>
    </row>
    <row r="134" spans="1:7" ht="25.5" x14ac:dyDescent="0.25">
      <c r="A134" s="17" t="s">
        <v>52</v>
      </c>
      <c r="B134" s="17" t="s">
        <v>57</v>
      </c>
      <c r="C134" s="17">
        <v>0.5</v>
      </c>
      <c r="D134" s="17">
        <v>0</v>
      </c>
      <c r="E134" s="17">
        <v>42</v>
      </c>
      <c r="F134" s="18">
        <v>7701.78</v>
      </c>
      <c r="G134" s="19">
        <v>11.741</v>
      </c>
    </row>
    <row r="135" spans="1:7" ht="25.5" x14ac:dyDescent="0.25">
      <c r="A135" s="21" t="s">
        <v>52</v>
      </c>
      <c r="B135" s="21" t="s">
        <v>57</v>
      </c>
      <c r="C135" s="21">
        <v>0.5</v>
      </c>
      <c r="D135" s="21">
        <v>1</v>
      </c>
      <c r="E135" s="21">
        <v>43</v>
      </c>
      <c r="F135" s="22">
        <v>7727.9</v>
      </c>
      <c r="G135" s="23">
        <v>11.231</v>
      </c>
    </row>
    <row r="136" spans="1:7" ht="25.5" x14ac:dyDescent="0.25">
      <c r="A136" s="17" t="s">
        <v>52</v>
      </c>
      <c r="B136" s="17" t="s">
        <v>57</v>
      </c>
      <c r="C136" s="17">
        <v>0.5</v>
      </c>
      <c r="D136" s="17">
        <v>2</v>
      </c>
      <c r="E136" s="17">
        <v>44</v>
      </c>
      <c r="F136" s="18">
        <v>7710.11</v>
      </c>
      <c r="G136" s="19">
        <v>10.047000000000001</v>
      </c>
    </row>
    <row r="137" spans="1:7" ht="25.5" x14ac:dyDescent="0.25">
      <c r="A137" s="21" t="s">
        <v>52</v>
      </c>
      <c r="B137" s="21" t="s">
        <v>53</v>
      </c>
      <c r="C137" s="21">
        <v>0.75</v>
      </c>
      <c r="D137" s="21">
        <v>0</v>
      </c>
      <c r="E137" s="21">
        <v>42</v>
      </c>
      <c r="F137" s="22">
        <v>7609.5</v>
      </c>
      <c r="G137" s="23">
        <v>11.026</v>
      </c>
    </row>
    <row r="138" spans="1:7" ht="25.5" x14ac:dyDescent="0.25">
      <c r="A138" s="17" t="s">
        <v>52</v>
      </c>
      <c r="B138" s="17" t="s">
        <v>53</v>
      </c>
      <c r="C138" s="17">
        <v>0.75</v>
      </c>
      <c r="D138" s="17">
        <v>1</v>
      </c>
      <c r="E138" s="17">
        <v>43</v>
      </c>
      <c r="F138" s="18">
        <v>7651.71</v>
      </c>
      <c r="G138" s="19">
        <v>10.125</v>
      </c>
    </row>
    <row r="139" spans="1:7" ht="25.5" x14ac:dyDescent="0.25">
      <c r="A139" s="21" t="s">
        <v>52</v>
      </c>
      <c r="B139" s="21" t="s">
        <v>53</v>
      </c>
      <c r="C139" s="21">
        <v>0.75</v>
      </c>
      <c r="D139" s="21">
        <v>2</v>
      </c>
      <c r="E139" s="21">
        <v>44</v>
      </c>
      <c r="F139" s="22">
        <v>7616.92</v>
      </c>
      <c r="G139" s="23">
        <v>11.053000000000001</v>
      </c>
    </row>
    <row r="140" spans="1:7" ht="25.5" x14ac:dyDescent="0.25">
      <c r="A140" s="17" t="s">
        <v>52</v>
      </c>
      <c r="B140" s="17" t="s">
        <v>54</v>
      </c>
      <c r="C140" s="17">
        <v>0.75</v>
      </c>
      <c r="D140" s="17">
        <v>0</v>
      </c>
      <c r="E140" s="17">
        <v>42</v>
      </c>
      <c r="F140" s="18">
        <v>7643.21</v>
      </c>
      <c r="G140" s="19">
        <v>10.996</v>
      </c>
    </row>
    <row r="141" spans="1:7" ht="25.5" x14ac:dyDescent="0.25">
      <c r="A141" s="21" t="s">
        <v>52</v>
      </c>
      <c r="B141" s="21" t="s">
        <v>54</v>
      </c>
      <c r="C141" s="21">
        <v>0.75</v>
      </c>
      <c r="D141" s="21">
        <v>1</v>
      </c>
      <c r="E141" s="21">
        <v>43</v>
      </c>
      <c r="F141" s="22">
        <v>7645.36</v>
      </c>
      <c r="G141" s="23">
        <v>10.445</v>
      </c>
    </row>
    <row r="142" spans="1:7" ht="25.5" x14ac:dyDescent="0.25">
      <c r="A142" s="17" t="s">
        <v>52</v>
      </c>
      <c r="B142" s="17" t="s">
        <v>54</v>
      </c>
      <c r="C142" s="17">
        <v>0.75</v>
      </c>
      <c r="D142" s="17">
        <v>2</v>
      </c>
      <c r="E142" s="17">
        <v>44</v>
      </c>
      <c r="F142" s="18">
        <v>7645.54</v>
      </c>
      <c r="G142" s="19">
        <v>12.227</v>
      </c>
    </row>
    <row r="143" spans="1:7" ht="25.5" x14ac:dyDescent="0.25">
      <c r="A143" s="21" t="s">
        <v>52</v>
      </c>
      <c r="B143" s="21" t="s">
        <v>55</v>
      </c>
      <c r="C143" s="21">
        <v>0.75</v>
      </c>
      <c r="D143" s="21">
        <v>0</v>
      </c>
      <c r="E143" s="21">
        <v>42</v>
      </c>
      <c r="F143" s="22">
        <v>7638.89</v>
      </c>
      <c r="G143" s="23">
        <v>10.641</v>
      </c>
    </row>
    <row r="144" spans="1:7" ht="25.5" x14ac:dyDescent="0.25">
      <c r="A144" s="17" t="s">
        <v>52</v>
      </c>
      <c r="B144" s="17" t="s">
        <v>55</v>
      </c>
      <c r="C144" s="17">
        <v>0.75</v>
      </c>
      <c r="D144" s="17">
        <v>1</v>
      </c>
      <c r="E144" s="17">
        <v>43</v>
      </c>
      <c r="F144" s="18">
        <v>7618.73</v>
      </c>
      <c r="G144" s="19">
        <v>12.238</v>
      </c>
    </row>
    <row r="145" spans="1:7" ht="25.5" x14ac:dyDescent="0.25">
      <c r="A145" s="21" t="s">
        <v>52</v>
      </c>
      <c r="B145" s="21" t="s">
        <v>55</v>
      </c>
      <c r="C145" s="21">
        <v>0.75</v>
      </c>
      <c r="D145" s="21">
        <v>2</v>
      </c>
      <c r="E145" s="21">
        <v>44</v>
      </c>
      <c r="F145" s="22">
        <v>7689.14</v>
      </c>
      <c r="G145" s="23">
        <v>10.156000000000001</v>
      </c>
    </row>
    <row r="146" spans="1:7" ht="25.5" x14ac:dyDescent="0.25">
      <c r="A146" s="17" t="s">
        <v>52</v>
      </c>
      <c r="B146" s="17" t="s">
        <v>56</v>
      </c>
      <c r="C146" s="17">
        <v>0.75</v>
      </c>
      <c r="D146" s="17">
        <v>0</v>
      </c>
      <c r="E146" s="17">
        <v>42</v>
      </c>
      <c r="F146" s="18">
        <v>7643.43</v>
      </c>
      <c r="G146" s="19">
        <v>11.428000000000001</v>
      </c>
    </row>
    <row r="147" spans="1:7" ht="25.5" x14ac:dyDescent="0.25">
      <c r="A147" s="21" t="s">
        <v>52</v>
      </c>
      <c r="B147" s="21" t="s">
        <v>56</v>
      </c>
      <c r="C147" s="21">
        <v>0.75</v>
      </c>
      <c r="D147" s="21">
        <v>1</v>
      </c>
      <c r="E147" s="21">
        <v>43</v>
      </c>
      <c r="F147" s="22">
        <v>7712.31</v>
      </c>
      <c r="G147" s="23">
        <v>10.938000000000001</v>
      </c>
    </row>
    <row r="148" spans="1:7" ht="25.5" x14ac:dyDescent="0.25">
      <c r="A148" s="17" t="s">
        <v>52</v>
      </c>
      <c r="B148" s="17" t="s">
        <v>56</v>
      </c>
      <c r="C148" s="17">
        <v>0.75</v>
      </c>
      <c r="D148" s="17">
        <v>2</v>
      </c>
      <c r="E148" s="17">
        <v>44</v>
      </c>
      <c r="F148" s="18">
        <v>7669.41</v>
      </c>
      <c r="G148" s="19">
        <v>10.73</v>
      </c>
    </row>
    <row r="149" spans="1:7" ht="25.5" x14ac:dyDescent="0.25">
      <c r="A149" s="21" t="s">
        <v>52</v>
      </c>
      <c r="B149" s="21" t="s">
        <v>57</v>
      </c>
      <c r="C149" s="21">
        <v>0.75</v>
      </c>
      <c r="D149" s="21">
        <v>0</v>
      </c>
      <c r="E149" s="21">
        <v>42</v>
      </c>
      <c r="F149" s="22">
        <v>7667.14</v>
      </c>
      <c r="G149" s="23">
        <v>11.683999999999999</v>
      </c>
    </row>
    <row r="150" spans="1:7" ht="25.5" x14ac:dyDescent="0.25">
      <c r="A150" s="17" t="s">
        <v>52</v>
      </c>
      <c r="B150" s="17" t="s">
        <v>57</v>
      </c>
      <c r="C150" s="17">
        <v>0.75</v>
      </c>
      <c r="D150" s="17">
        <v>1</v>
      </c>
      <c r="E150" s="17">
        <v>43</v>
      </c>
      <c r="F150" s="18">
        <v>7727.06</v>
      </c>
      <c r="G150" s="19">
        <v>11.18</v>
      </c>
    </row>
    <row r="151" spans="1:7" ht="25.5" x14ac:dyDescent="0.25">
      <c r="A151" s="21" t="s">
        <v>52</v>
      </c>
      <c r="B151" s="21" t="s">
        <v>57</v>
      </c>
      <c r="C151" s="21">
        <v>0.75</v>
      </c>
      <c r="D151" s="21">
        <v>2</v>
      </c>
      <c r="E151" s="21">
        <v>44</v>
      </c>
      <c r="F151" s="22">
        <v>7691.95</v>
      </c>
      <c r="G151" s="23">
        <v>10.462</v>
      </c>
    </row>
    <row r="152" spans="1:7" ht="25.5" x14ac:dyDescent="0.25">
      <c r="A152" s="17" t="s">
        <v>52</v>
      </c>
      <c r="B152" s="17" t="s">
        <v>53</v>
      </c>
      <c r="C152" s="17">
        <v>0.9</v>
      </c>
      <c r="D152" s="17">
        <v>0</v>
      </c>
      <c r="E152" s="17">
        <v>42</v>
      </c>
      <c r="F152" s="18">
        <v>7709.01</v>
      </c>
      <c r="G152" s="19">
        <v>11.737</v>
      </c>
    </row>
    <row r="153" spans="1:7" ht="25.5" x14ac:dyDescent="0.25">
      <c r="A153" s="21" t="s">
        <v>52</v>
      </c>
      <c r="B153" s="21" t="s">
        <v>53</v>
      </c>
      <c r="C153" s="21">
        <v>0.9</v>
      </c>
      <c r="D153" s="21">
        <v>1</v>
      </c>
      <c r="E153" s="21">
        <v>43</v>
      </c>
      <c r="F153" s="22">
        <v>7754.9</v>
      </c>
      <c r="G153" s="23">
        <v>10.965</v>
      </c>
    </row>
    <row r="154" spans="1:7" ht="25.5" x14ac:dyDescent="0.25">
      <c r="A154" s="17" t="s">
        <v>52</v>
      </c>
      <c r="B154" s="17" t="s">
        <v>53</v>
      </c>
      <c r="C154" s="17">
        <v>0.9</v>
      </c>
      <c r="D154" s="17">
        <v>2</v>
      </c>
      <c r="E154" s="17">
        <v>44</v>
      </c>
      <c r="F154" s="18">
        <v>7647.4</v>
      </c>
      <c r="G154" s="19">
        <v>11.872</v>
      </c>
    </row>
    <row r="155" spans="1:7" ht="25.5" x14ac:dyDescent="0.25">
      <c r="A155" s="21" t="s">
        <v>52</v>
      </c>
      <c r="B155" s="21" t="s">
        <v>54</v>
      </c>
      <c r="C155" s="21">
        <v>0.9</v>
      </c>
      <c r="D155" s="21">
        <v>0</v>
      </c>
      <c r="E155" s="21">
        <v>42</v>
      </c>
      <c r="F155" s="22">
        <v>7627.32</v>
      </c>
      <c r="G155" s="23">
        <v>10.536</v>
      </c>
    </row>
    <row r="156" spans="1:7" ht="25.5" x14ac:dyDescent="0.25">
      <c r="A156" s="17" t="s">
        <v>52</v>
      </c>
      <c r="B156" s="17" t="s">
        <v>54</v>
      </c>
      <c r="C156" s="17">
        <v>0.9</v>
      </c>
      <c r="D156" s="17">
        <v>1</v>
      </c>
      <c r="E156" s="17">
        <v>43</v>
      </c>
      <c r="F156" s="18">
        <v>7682.51</v>
      </c>
      <c r="G156" s="19">
        <v>11.324</v>
      </c>
    </row>
    <row r="157" spans="1:7" ht="25.5" x14ac:dyDescent="0.25">
      <c r="A157" s="21" t="s">
        <v>52</v>
      </c>
      <c r="B157" s="21" t="s">
        <v>54</v>
      </c>
      <c r="C157" s="21">
        <v>0.9</v>
      </c>
      <c r="D157" s="21">
        <v>2</v>
      </c>
      <c r="E157" s="21">
        <v>44</v>
      </c>
      <c r="F157" s="22">
        <v>7636.44</v>
      </c>
      <c r="G157" s="23">
        <v>11.337</v>
      </c>
    </row>
    <row r="158" spans="1:7" ht="25.5" x14ac:dyDescent="0.25">
      <c r="A158" s="17" t="s">
        <v>52</v>
      </c>
      <c r="B158" s="17" t="s">
        <v>55</v>
      </c>
      <c r="C158" s="17">
        <v>0.9</v>
      </c>
      <c r="D158" s="17">
        <v>0</v>
      </c>
      <c r="E158" s="17">
        <v>42</v>
      </c>
      <c r="F158" s="18">
        <v>7690.85</v>
      </c>
      <c r="G158" s="19">
        <v>11.34</v>
      </c>
    </row>
    <row r="159" spans="1:7" ht="25.5" x14ac:dyDescent="0.25">
      <c r="A159" s="21" t="s">
        <v>52</v>
      </c>
      <c r="B159" s="21" t="s">
        <v>55</v>
      </c>
      <c r="C159" s="21">
        <v>0.9</v>
      </c>
      <c r="D159" s="21">
        <v>1</v>
      </c>
      <c r="E159" s="21">
        <v>43</v>
      </c>
      <c r="F159" s="22">
        <v>7655.41</v>
      </c>
      <c r="G159" s="23">
        <v>10.981</v>
      </c>
    </row>
    <row r="160" spans="1:7" ht="25.5" x14ac:dyDescent="0.25">
      <c r="A160" s="17" t="s">
        <v>52</v>
      </c>
      <c r="B160" s="17" t="s">
        <v>55</v>
      </c>
      <c r="C160" s="17">
        <v>0.9</v>
      </c>
      <c r="D160" s="17">
        <v>2</v>
      </c>
      <c r="E160" s="17">
        <v>44</v>
      </c>
      <c r="F160" s="18">
        <v>7633.02</v>
      </c>
      <c r="G160" s="19">
        <v>11.529</v>
      </c>
    </row>
    <row r="161" spans="1:7" ht="25.5" x14ac:dyDescent="0.25">
      <c r="A161" s="21" t="s">
        <v>52</v>
      </c>
      <c r="B161" s="21" t="s">
        <v>56</v>
      </c>
      <c r="C161" s="21">
        <v>0.9</v>
      </c>
      <c r="D161" s="21">
        <v>0</v>
      </c>
      <c r="E161" s="21">
        <v>42</v>
      </c>
      <c r="F161" s="22">
        <v>7718.59</v>
      </c>
      <c r="G161" s="23">
        <v>10.478</v>
      </c>
    </row>
    <row r="162" spans="1:7" ht="25.5" x14ac:dyDescent="0.25">
      <c r="A162" s="17" t="s">
        <v>52</v>
      </c>
      <c r="B162" s="17" t="s">
        <v>56</v>
      </c>
      <c r="C162" s="17">
        <v>0.9</v>
      </c>
      <c r="D162" s="17">
        <v>1</v>
      </c>
      <c r="E162" s="17">
        <v>43</v>
      </c>
      <c r="F162" s="18">
        <v>7688.18</v>
      </c>
      <c r="G162" s="19">
        <v>10.917</v>
      </c>
    </row>
    <row r="163" spans="1:7" ht="25.5" x14ac:dyDescent="0.25">
      <c r="A163" s="21" t="s">
        <v>52</v>
      </c>
      <c r="B163" s="21" t="s">
        <v>56</v>
      </c>
      <c r="C163" s="21">
        <v>0.9</v>
      </c>
      <c r="D163" s="21">
        <v>2</v>
      </c>
      <c r="E163" s="21">
        <v>44</v>
      </c>
      <c r="F163" s="22">
        <v>7637.7</v>
      </c>
      <c r="G163" s="23">
        <v>10.569000000000001</v>
      </c>
    </row>
    <row r="164" spans="1:7" ht="25.5" x14ac:dyDescent="0.25">
      <c r="A164" s="17" t="s">
        <v>52</v>
      </c>
      <c r="B164" s="17" t="s">
        <v>57</v>
      </c>
      <c r="C164" s="17">
        <v>0.9</v>
      </c>
      <c r="D164" s="17">
        <v>0</v>
      </c>
      <c r="E164" s="17">
        <v>42</v>
      </c>
      <c r="F164" s="18">
        <v>7658.31</v>
      </c>
      <c r="G164" s="19">
        <v>10.422000000000001</v>
      </c>
    </row>
    <row r="165" spans="1:7" ht="25.5" x14ac:dyDescent="0.25">
      <c r="A165" s="21" t="s">
        <v>52</v>
      </c>
      <c r="B165" s="21" t="s">
        <v>57</v>
      </c>
      <c r="C165" s="21">
        <v>0.9</v>
      </c>
      <c r="D165" s="21">
        <v>1</v>
      </c>
      <c r="E165" s="21">
        <v>43</v>
      </c>
      <c r="F165" s="22">
        <v>7679.36</v>
      </c>
      <c r="G165" s="23">
        <v>11.881</v>
      </c>
    </row>
    <row r="166" spans="1:7" ht="25.5" x14ac:dyDescent="0.25">
      <c r="A166" s="17" t="s">
        <v>52</v>
      </c>
      <c r="B166" s="17" t="s">
        <v>57</v>
      </c>
      <c r="C166" s="17">
        <v>0.9</v>
      </c>
      <c r="D166" s="17">
        <v>2</v>
      </c>
      <c r="E166" s="17">
        <v>44</v>
      </c>
      <c r="F166" s="18">
        <v>7649.82</v>
      </c>
      <c r="G166" s="19">
        <v>10.976000000000001</v>
      </c>
    </row>
    <row r="167" spans="1:7" ht="25.5" x14ac:dyDescent="0.25">
      <c r="A167" s="21" t="s">
        <v>52</v>
      </c>
      <c r="B167" s="21" t="s">
        <v>53</v>
      </c>
      <c r="C167" s="21" t="s">
        <v>51</v>
      </c>
      <c r="D167" s="21">
        <v>0</v>
      </c>
      <c r="E167" s="21">
        <v>42</v>
      </c>
      <c r="F167" s="22">
        <v>7675.53</v>
      </c>
      <c r="G167" s="23">
        <v>12.026999999999999</v>
      </c>
    </row>
    <row r="168" spans="1:7" ht="25.5" x14ac:dyDescent="0.25">
      <c r="A168" s="17" t="s">
        <v>52</v>
      </c>
      <c r="B168" s="17" t="s">
        <v>53</v>
      </c>
      <c r="C168" s="17" t="s">
        <v>51</v>
      </c>
      <c r="D168" s="17">
        <v>1</v>
      </c>
      <c r="E168" s="17">
        <v>43</v>
      </c>
      <c r="F168" s="18">
        <v>7658.03</v>
      </c>
      <c r="G168" s="19">
        <v>10.851000000000001</v>
      </c>
    </row>
    <row r="169" spans="1:7" ht="25.5" x14ac:dyDescent="0.25">
      <c r="A169" s="21" t="s">
        <v>52</v>
      </c>
      <c r="B169" s="21" t="s">
        <v>53</v>
      </c>
      <c r="C169" s="21" t="s">
        <v>51</v>
      </c>
      <c r="D169" s="21">
        <v>2</v>
      </c>
      <c r="E169" s="21">
        <v>44</v>
      </c>
      <c r="F169" s="22">
        <v>7634.5</v>
      </c>
      <c r="G169" s="23">
        <v>12.199</v>
      </c>
    </row>
    <row r="170" spans="1:7" ht="25.5" x14ac:dyDescent="0.25">
      <c r="A170" s="17" t="s">
        <v>52</v>
      </c>
      <c r="B170" s="17" t="s">
        <v>54</v>
      </c>
      <c r="C170" s="17" t="s">
        <v>51</v>
      </c>
      <c r="D170" s="17">
        <v>0</v>
      </c>
      <c r="E170" s="17">
        <v>42</v>
      </c>
      <c r="F170" s="18">
        <v>7718.98</v>
      </c>
      <c r="G170" s="19">
        <v>10.583</v>
      </c>
    </row>
    <row r="171" spans="1:7" ht="25.5" x14ac:dyDescent="0.25">
      <c r="A171" s="21" t="s">
        <v>52</v>
      </c>
      <c r="B171" s="21" t="s">
        <v>54</v>
      </c>
      <c r="C171" s="21" t="s">
        <v>51</v>
      </c>
      <c r="D171" s="21">
        <v>1</v>
      </c>
      <c r="E171" s="21">
        <v>43</v>
      </c>
      <c r="F171" s="22">
        <v>7632.85</v>
      </c>
      <c r="G171" s="23">
        <v>10.731999999999999</v>
      </c>
    </row>
    <row r="172" spans="1:7" ht="25.5" x14ac:dyDescent="0.25">
      <c r="A172" s="17" t="s">
        <v>52</v>
      </c>
      <c r="B172" s="17" t="s">
        <v>54</v>
      </c>
      <c r="C172" s="17" t="s">
        <v>51</v>
      </c>
      <c r="D172" s="17">
        <v>2</v>
      </c>
      <c r="E172" s="17">
        <v>44</v>
      </c>
      <c r="F172" s="18">
        <v>7731.54</v>
      </c>
      <c r="G172" s="19">
        <v>11.004</v>
      </c>
    </row>
    <row r="173" spans="1:7" ht="25.5" x14ac:dyDescent="0.25">
      <c r="A173" s="21" t="s">
        <v>52</v>
      </c>
      <c r="B173" s="21" t="s">
        <v>55</v>
      </c>
      <c r="C173" s="21" t="s">
        <v>51</v>
      </c>
      <c r="D173" s="21">
        <v>0</v>
      </c>
      <c r="E173" s="21">
        <v>42</v>
      </c>
      <c r="F173" s="22">
        <v>7707.8</v>
      </c>
      <c r="G173" s="23">
        <v>11.164</v>
      </c>
    </row>
    <row r="174" spans="1:7" ht="25.5" x14ac:dyDescent="0.25">
      <c r="A174" s="17" t="s">
        <v>52</v>
      </c>
      <c r="B174" s="17" t="s">
        <v>55</v>
      </c>
      <c r="C174" s="17" t="s">
        <v>51</v>
      </c>
      <c r="D174" s="17">
        <v>1</v>
      </c>
      <c r="E174" s="17">
        <v>43</v>
      </c>
      <c r="F174" s="18">
        <v>7710.32</v>
      </c>
      <c r="G174" s="19">
        <v>10.098000000000001</v>
      </c>
    </row>
    <row r="175" spans="1:7" ht="25.5" x14ac:dyDescent="0.25">
      <c r="A175" s="21" t="s">
        <v>52</v>
      </c>
      <c r="B175" s="21" t="s">
        <v>55</v>
      </c>
      <c r="C175" s="21" t="s">
        <v>51</v>
      </c>
      <c r="D175" s="21">
        <v>2</v>
      </c>
      <c r="E175" s="21">
        <v>44</v>
      </c>
      <c r="F175" s="22">
        <v>7668.7</v>
      </c>
      <c r="G175" s="23">
        <v>11.863</v>
      </c>
    </row>
    <row r="176" spans="1:7" ht="25.5" x14ac:dyDescent="0.25">
      <c r="A176" s="17" t="s">
        <v>52</v>
      </c>
      <c r="B176" s="17" t="s">
        <v>56</v>
      </c>
      <c r="C176" s="17" t="s">
        <v>51</v>
      </c>
      <c r="D176" s="17">
        <v>0</v>
      </c>
      <c r="E176" s="17">
        <v>42</v>
      </c>
      <c r="F176" s="18">
        <v>7695.9</v>
      </c>
      <c r="G176" s="19">
        <v>11.711</v>
      </c>
    </row>
    <row r="177" spans="1:7" ht="25.5" x14ac:dyDescent="0.25">
      <c r="A177" s="21" t="s">
        <v>52</v>
      </c>
      <c r="B177" s="21" t="s">
        <v>56</v>
      </c>
      <c r="C177" s="21" t="s">
        <v>51</v>
      </c>
      <c r="D177" s="21">
        <v>1</v>
      </c>
      <c r="E177" s="21">
        <v>43</v>
      </c>
      <c r="F177" s="22">
        <v>7668.57</v>
      </c>
      <c r="G177" s="23">
        <v>11.385999999999999</v>
      </c>
    </row>
    <row r="178" spans="1:7" ht="25.5" x14ac:dyDescent="0.25">
      <c r="A178" s="17" t="s">
        <v>52</v>
      </c>
      <c r="B178" s="17" t="s">
        <v>56</v>
      </c>
      <c r="C178" s="17" t="s">
        <v>51</v>
      </c>
      <c r="D178" s="17">
        <v>2</v>
      </c>
      <c r="E178" s="17">
        <v>44</v>
      </c>
      <c r="F178" s="18">
        <v>7703.27</v>
      </c>
      <c r="G178" s="19">
        <v>10.276999999999999</v>
      </c>
    </row>
    <row r="179" spans="1:7" ht="25.5" x14ac:dyDescent="0.25">
      <c r="A179" s="21" t="s">
        <v>52</v>
      </c>
      <c r="B179" s="21" t="s">
        <v>57</v>
      </c>
      <c r="C179" s="21" t="s">
        <v>51</v>
      </c>
      <c r="D179" s="21">
        <v>0</v>
      </c>
      <c r="E179" s="21">
        <v>42</v>
      </c>
      <c r="F179" s="22">
        <v>7694.77</v>
      </c>
      <c r="G179" s="23">
        <v>11.058</v>
      </c>
    </row>
    <row r="180" spans="1:7" ht="25.5" x14ac:dyDescent="0.25">
      <c r="A180" s="17" t="s">
        <v>52</v>
      </c>
      <c r="B180" s="17" t="s">
        <v>57</v>
      </c>
      <c r="C180" s="17" t="s">
        <v>51</v>
      </c>
      <c r="D180" s="17">
        <v>1</v>
      </c>
      <c r="E180" s="17">
        <v>43</v>
      </c>
      <c r="F180" s="18">
        <v>7698.01</v>
      </c>
      <c r="G180" s="19">
        <v>11.055999999999999</v>
      </c>
    </row>
    <row r="181" spans="1:7" ht="25.5" x14ac:dyDescent="0.25">
      <c r="A181" s="21" t="s">
        <v>52</v>
      </c>
      <c r="B181" s="21" t="s">
        <v>57</v>
      </c>
      <c r="C181" s="21" t="s">
        <v>51</v>
      </c>
      <c r="D181" s="21">
        <v>2</v>
      </c>
      <c r="E181" s="21">
        <v>44</v>
      </c>
      <c r="F181" s="22">
        <v>7722.3</v>
      </c>
      <c r="G181" s="23">
        <v>11.964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9"/>
  <sheetViews>
    <sheetView showGridLines="0" zoomScaleNormal="100" workbookViewId="0">
      <pane xSplit="3" ySplit="1" topLeftCell="D2" activePane="bottomRight" state="frozen"/>
      <selection pane="topRight" activeCell="D1" sqref="D1"/>
      <selection pane="bottomLeft" activeCell="A2" sqref="A2"/>
      <selection pane="bottomRight" activeCell="G132" sqref="G132"/>
    </sheetView>
  </sheetViews>
  <sheetFormatPr baseColWidth="10" defaultColWidth="8.7109375" defaultRowHeight="15" x14ac:dyDescent="0.25"/>
  <cols>
    <col min="1" max="1" width="23" customWidth="1"/>
    <col min="2" max="2" width="14" customWidth="1"/>
    <col min="3" max="3" width="23" customWidth="1"/>
    <col min="4" max="4" width="11" customWidth="1"/>
    <col min="5" max="5" width="17" customWidth="1"/>
    <col min="6" max="6" width="19" customWidth="1"/>
    <col min="7" max="8" width="15" customWidth="1"/>
    <col min="9" max="11" width="19" customWidth="1"/>
  </cols>
  <sheetData>
    <row r="1" spans="1:11" ht="30" customHeight="1" x14ac:dyDescent="0.25">
      <c r="A1" s="16" t="s">
        <v>36</v>
      </c>
      <c r="B1" s="16" t="s">
        <v>62</v>
      </c>
      <c r="C1" s="16" t="s">
        <v>37</v>
      </c>
      <c r="D1" s="16" t="s">
        <v>38</v>
      </c>
      <c r="E1" s="16" t="s">
        <v>63</v>
      </c>
      <c r="F1" s="16" t="s">
        <v>39</v>
      </c>
      <c r="G1" s="16" t="s">
        <v>40</v>
      </c>
      <c r="H1" s="16" t="s">
        <v>41</v>
      </c>
      <c r="I1" s="16" t="s">
        <v>42</v>
      </c>
      <c r="J1" s="16" t="s">
        <v>43</v>
      </c>
      <c r="K1" s="16" t="s">
        <v>44</v>
      </c>
    </row>
    <row r="2" spans="1:11" x14ac:dyDescent="0.25">
      <c r="A2" s="17" t="s">
        <v>45</v>
      </c>
      <c r="B2" s="17" t="s">
        <v>64</v>
      </c>
      <c r="C2" s="17" t="s">
        <v>46</v>
      </c>
      <c r="D2" s="17">
        <v>0.1</v>
      </c>
      <c r="E2" s="17">
        <v>15</v>
      </c>
      <c r="F2" s="18">
        <v>360.15</v>
      </c>
      <c r="G2" s="18">
        <v>360.15</v>
      </c>
      <c r="H2" s="18">
        <v>360.15</v>
      </c>
      <c r="I2" s="18">
        <v>0</v>
      </c>
      <c r="J2" s="19">
        <v>10</v>
      </c>
      <c r="K2" s="20">
        <v>0</v>
      </c>
    </row>
    <row r="3" spans="1:11" x14ac:dyDescent="0.25">
      <c r="A3" s="21" t="s">
        <v>45</v>
      </c>
      <c r="B3" s="21" t="s">
        <v>64</v>
      </c>
      <c r="C3" s="21" t="s">
        <v>47</v>
      </c>
      <c r="D3" s="21">
        <v>0.1</v>
      </c>
      <c r="E3" s="21">
        <v>15</v>
      </c>
      <c r="F3" s="22">
        <v>355.72</v>
      </c>
      <c r="G3" s="22">
        <v>355.72</v>
      </c>
      <c r="H3" s="22">
        <v>355.72</v>
      </c>
      <c r="I3" s="22">
        <v>0</v>
      </c>
      <c r="J3" s="23">
        <v>10</v>
      </c>
      <c r="K3" s="24">
        <v>0</v>
      </c>
    </row>
    <row r="4" spans="1:11" x14ac:dyDescent="0.25">
      <c r="A4" s="17" t="s">
        <v>45</v>
      </c>
      <c r="B4" s="17" t="s">
        <v>64</v>
      </c>
      <c r="C4" s="17" t="s">
        <v>48</v>
      </c>
      <c r="D4" s="17">
        <v>0.1</v>
      </c>
      <c r="E4" s="17">
        <v>15</v>
      </c>
      <c r="F4" s="18">
        <v>355.5</v>
      </c>
      <c r="G4" s="18">
        <v>355.5</v>
      </c>
      <c r="H4" s="18">
        <v>355.5</v>
      </c>
      <c r="I4" s="18">
        <v>0</v>
      </c>
      <c r="J4" s="19">
        <v>10.000999999999999</v>
      </c>
      <c r="K4" s="20">
        <v>0</v>
      </c>
    </row>
    <row r="5" spans="1:11" x14ac:dyDescent="0.25">
      <c r="A5" s="21" t="s">
        <v>45</v>
      </c>
      <c r="B5" s="21" t="s">
        <v>64</v>
      </c>
      <c r="C5" s="21" t="s">
        <v>49</v>
      </c>
      <c r="D5" s="21">
        <v>0.1</v>
      </c>
      <c r="E5" s="21">
        <v>15</v>
      </c>
      <c r="F5" s="22">
        <v>354.25</v>
      </c>
      <c r="G5" s="22">
        <v>354.25</v>
      </c>
      <c r="H5" s="22">
        <v>354.25</v>
      </c>
      <c r="I5" s="22">
        <v>0</v>
      </c>
      <c r="J5" s="23">
        <v>10.000999999999999</v>
      </c>
      <c r="K5" s="24">
        <v>0</v>
      </c>
    </row>
    <row r="6" spans="1:11" x14ac:dyDescent="0.25">
      <c r="A6" s="17" t="s">
        <v>45</v>
      </c>
      <c r="B6" s="17" t="s">
        <v>64</v>
      </c>
      <c r="C6" s="17" t="s">
        <v>50</v>
      </c>
      <c r="D6" s="17">
        <v>0.1</v>
      </c>
      <c r="E6" s="17">
        <v>15</v>
      </c>
      <c r="F6" s="18">
        <v>356.06</v>
      </c>
      <c r="G6" s="18">
        <v>356.06</v>
      </c>
      <c r="H6" s="18">
        <v>356.06</v>
      </c>
      <c r="I6" s="18">
        <v>0</v>
      </c>
      <c r="J6" s="19">
        <v>10.000999999999999</v>
      </c>
      <c r="K6" s="20">
        <v>0</v>
      </c>
    </row>
    <row r="7" spans="1:11" x14ac:dyDescent="0.25">
      <c r="A7" s="21" t="s">
        <v>45</v>
      </c>
      <c r="B7" s="21" t="s">
        <v>64</v>
      </c>
      <c r="C7" s="21" t="s">
        <v>46</v>
      </c>
      <c r="D7" s="21">
        <v>0.25</v>
      </c>
      <c r="E7" s="21">
        <v>15</v>
      </c>
      <c r="F7" s="22">
        <v>360.15</v>
      </c>
      <c r="G7" s="22">
        <v>360.15</v>
      </c>
      <c r="H7" s="22">
        <v>360.15</v>
      </c>
      <c r="I7" s="22">
        <v>0</v>
      </c>
      <c r="J7" s="23">
        <v>10</v>
      </c>
      <c r="K7" s="24">
        <v>0</v>
      </c>
    </row>
    <row r="8" spans="1:11" x14ac:dyDescent="0.25">
      <c r="A8" s="17" t="s">
        <v>45</v>
      </c>
      <c r="B8" s="17" t="s">
        <v>64</v>
      </c>
      <c r="C8" s="17" t="s">
        <v>47</v>
      </c>
      <c r="D8" s="17">
        <v>0.25</v>
      </c>
      <c r="E8" s="17">
        <v>15</v>
      </c>
      <c r="F8" s="18">
        <v>355.72</v>
      </c>
      <c r="G8" s="18">
        <v>355.72</v>
      </c>
      <c r="H8" s="18">
        <v>355.72</v>
      </c>
      <c r="I8" s="18">
        <v>0</v>
      </c>
      <c r="J8" s="19">
        <v>10.000999999999999</v>
      </c>
      <c r="K8" s="20">
        <v>0</v>
      </c>
    </row>
    <row r="9" spans="1:11" x14ac:dyDescent="0.25">
      <c r="A9" s="21" t="s">
        <v>45</v>
      </c>
      <c r="B9" s="21" t="s">
        <v>64</v>
      </c>
      <c r="C9" s="21" t="s">
        <v>48</v>
      </c>
      <c r="D9" s="21">
        <v>0.25</v>
      </c>
      <c r="E9" s="21">
        <v>15</v>
      </c>
      <c r="F9" s="22">
        <v>355.5</v>
      </c>
      <c r="G9" s="22">
        <v>355.5</v>
      </c>
      <c r="H9" s="22">
        <v>355.5</v>
      </c>
      <c r="I9" s="22">
        <v>0</v>
      </c>
      <c r="J9" s="23">
        <v>10</v>
      </c>
      <c r="K9" s="24">
        <v>0</v>
      </c>
    </row>
    <row r="10" spans="1:11" x14ac:dyDescent="0.25">
      <c r="A10" s="17" t="s">
        <v>45</v>
      </c>
      <c r="B10" s="17" t="s">
        <v>64</v>
      </c>
      <c r="C10" s="17" t="s">
        <v>49</v>
      </c>
      <c r="D10" s="17">
        <v>0.25</v>
      </c>
      <c r="E10" s="17">
        <v>15</v>
      </c>
      <c r="F10" s="18">
        <v>354.25</v>
      </c>
      <c r="G10" s="18">
        <v>354.25</v>
      </c>
      <c r="H10" s="18">
        <v>354.25</v>
      </c>
      <c r="I10" s="18">
        <v>0</v>
      </c>
      <c r="J10" s="19">
        <v>10</v>
      </c>
      <c r="K10" s="20">
        <v>0</v>
      </c>
    </row>
    <row r="11" spans="1:11" x14ac:dyDescent="0.25">
      <c r="A11" s="21" t="s">
        <v>45</v>
      </c>
      <c r="B11" s="21" t="s">
        <v>64</v>
      </c>
      <c r="C11" s="21" t="s">
        <v>50</v>
      </c>
      <c r="D11" s="21">
        <v>0.25</v>
      </c>
      <c r="E11" s="21">
        <v>15</v>
      </c>
      <c r="F11" s="22">
        <v>356.06</v>
      </c>
      <c r="G11" s="22">
        <v>356.06</v>
      </c>
      <c r="H11" s="22">
        <v>356.06</v>
      </c>
      <c r="I11" s="22">
        <v>0</v>
      </c>
      <c r="J11" s="23">
        <v>10.000999999999999</v>
      </c>
      <c r="K11" s="24">
        <v>0</v>
      </c>
    </row>
    <row r="12" spans="1:11" x14ac:dyDescent="0.25">
      <c r="A12" s="17" t="s">
        <v>45</v>
      </c>
      <c r="B12" s="17" t="s">
        <v>64</v>
      </c>
      <c r="C12" s="17" t="s">
        <v>46</v>
      </c>
      <c r="D12" s="17">
        <v>0.5</v>
      </c>
      <c r="E12" s="17">
        <v>15</v>
      </c>
      <c r="F12" s="18">
        <v>360.15</v>
      </c>
      <c r="G12" s="18">
        <v>360.15</v>
      </c>
      <c r="H12" s="18">
        <v>360.15</v>
      </c>
      <c r="I12" s="18">
        <v>0</v>
      </c>
      <c r="J12" s="19">
        <v>10</v>
      </c>
      <c r="K12" s="20">
        <v>0</v>
      </c>
    </row>
    <row r="13" spans="1:11" x14ac:dyDescent="0.25">
      <c r="A13" s="21" t="s">
        <v>45</v>
      </c>
      <c r="B13" s="21" t="s">
        <v>64</v>
      </c>
      <c r="C13" s="21" t="s">
        <v>47</v>
      </c>
      <c r="D13" s="21">
        <v>0.5</v>
      </c>
      <c r="E13" s="21">
        <v>15</v>
      </c>
      <c r="F13" s="22">
        <v>355.72</v>
      </c>
      <c r="G13" s="22">
        <v>355.72</v>
      </c>
      <c r="H13" s="22">
        <v>355.72</v>
      </c>
      <c r="I13" s="22">
        <v>0</v>
      </c>
      <c r="J13" s="23">
        <v>10.000999999999999</v>
      </c>
      <c r="K13" s="24">
        <v>0</v>
      </c>
    </row>
    <row r="14" spans="1:11" x14ac:dyDescent="0.25">
      <c r="A14" s="17" t="s">
        <v>45</v>
      </c>
      <c r="B14" s="17" t="s">
        <v>64</v>
      </c>
      <c r="C14" s="17" t="s">
        <v>48</v>
      </c>
      <c r="D14" s="17">
        <v>0.5</v>
      </c>
      <c r="E14" s="17">
        <v>15</v>
      </c>
      <c r="F14" s="18">
        <v>355.5</v>
      </c>
      <c r="G14" s="18">
        <v>355.5</v>
      </c>
      <c r="H14" s="18">
        <v>355.5</v>
      </c>
      <c r="I14" s="18">
        <v>0</v>
      </c>
      <c r="J14" s="19">
        <v>10</v>
      </c>
      <c r="K14" s="20">
        <v>0</v>
      </c>
    </row>
    <row r="15" spans="1:11" x14ac:dyDescent="0.25">
      <c r="A15" s="21" t="s">
        <v>45</v>
      </c>
      <c r="B15" s="21" t="s">
        <v>64</v>
      </c>
      <c r="C15" s="21" t="s">
        <v>49</v>
      </c>
      <c r="D15" s="21">
        <v>0.5</v>
      </c>
      <c r="E15" s="21">
        <v>15</v>
      </c>
      <c r="F15" s="22">
        <v>354.25</v>
      </c>
      <c r="G15" s="22">
        <v>354.25</v>
      </c>
      <c r="H15" s="22">
        <v>354.25</v>
      </c>
      <c r="I15" s="22">
        <v>0</v>
      </c>
      <c r="J15" s="23">
        <v>10.000999999999999</v>
      </c>
      <c r="K15" s="24">
        <v>0</v>
      </c>
    </row>
    <row r="16" spans="1:11" x14ac:dyDescent="0.25">
      <c r="A16" s="17" t="s">
        <v>45</v>
      </c>
      <c r="B16" s="17" t="s">
        <v>64</v>
      </c>
      <c r="C16" s="17" t="s">
        <v>50</v>
      </c>
      <c r="D16" s="17">
        <v>0.5</v>
      </c>
      <c r="E16" s="17">
        <v>15</v>
      </c>
      <c r="F16" s="18">
        <v>356.06</v>
      </c>
      <c r="G16" s="18">
        <v>356.06</v>
      </c>
      <c r="H16" s="18">
        <v>356.06</v>
      </c>
      <c r="I16" s="18">
        <v>0</v>
      </c>
      <c r="J16" s="19">
        <v>10</v>
      </c>
      <c r="K16" s="20">
        <v>0</v>
      </c>
    </row>
    <row r="17" spans="1:11" x14ac:dyDescent="0.25">
      <c r="A17" s="21" t="s">
        <v>45</v>
      </c>
      <c r="B17" s="21" t="s">
        <v>64</v>
      </c>
      <c r="C17" s="21" t="s">
        <v>46</v>
      </c>
      <c r="D17" s="21">
        <v>0.75</v>
      </c>
      <c r="E17" s="21">
        <v>15</v>
      </c>
      <c r="F17" s="22">
        <v>360.15</v>
      </c>
      <c r="G17" s="22">
        <v>360.15</v>
      </c>
      <c r="H17" s="22">
        <v>360.15</v>
      </c>
      <c r="I17" s="22">
        <v>0</v>
      </c>
      <c r="J17" s="23">
        <v>10</v>
      </c>
      <c r="K17" s="24">
        <v>0</v>
      </c>
    </row>
    <row r="18" spans="1:11" x14ac:dyDescent="0.25">
      <c r="A18" s="17" t="s">
        <v>45</v>
      </c>
      <c r="B18" s="17" t="s">
        <v>64</v>
      </c>
      <c r="C18" s="17" t="s">
        <v>47</v>
      </c>
      <c r="D18" s="17">
        <v>0.75</v>
      </c>
      <c r="E18" s="17">
        <v>15</v>
      </c>
      <c r="F18" s="18">
        <v>355.72</v>
      </c>
      <c r="G18" s="18">
        <v>355.72</v>
      </c>
      <c r="H18" s="18">
        <v>355.72</v>
      </c>
      <c r="I18" s="18">
        <v>0</v>
      </c>
      <c r="J18" s="19">
        <v>10</v>
      </c>
      <c r="K18" s="20">
        <v>0</v>
      </c>
    </row>
    <row r="19" spans="1:11" x14ac:dyDescent="0.25">
      <c r="A19" s="21" t="s">
        <v>45</v>
      </c>
      <c r="B19" s="21" t="s">
        <v>64</v>
      </c>
      <c r="C19" s="21" t="s">
        <v>48</v>
      </c>
      <c r="D19" s="21">
        <v>0.75</v>
      </c>
      <c r="E19" s="21">
        <v>15</v>
      </c>
      <c r="F19" s="22">
        <v>355.5</v>
      </c>
      <c r="G19" s="22">
        <v>355.5</v>
      </c>
      <c r="H19" s="22">
        <v>355.5</v>
      </c>
      <c r="I19" s="22">
        <v>0</v>
      </c>
      <c r="J19" s="23">
        <v>10</v>
      </c>
      <c r="K19" s="24">
        <v>0</v>
      </c>
    </row>
    <row r="20" spans="1:11" x14ac:dyDescent="0.25">
      <c r="A20" s="17" t="s">
        <v>45</v>
      </c>
      <c r="B20" s="17" t="s">
        <v>64</v>
      </c>
      <c r="C20" s="17" t="s">
        <v>49</v>
      </c>
      <c r="D20" s="17">
        <v>0.75</v>
      </c>
      <c r="E20" s="17">
        <v>15</v>
      </c>
      <c r="F20" s="18">
        <v>354.25</v>
      </c>
      <c r="G20" s="18">
        <v>354.25</v>
      </c>
      <c r="H20" s="18">
        <v>354.25</v>
      </c>
      <c r="I20" s="18">
        <v>0</v>
      </c>
      <c r="J20" s="19">
        <v>10.000999999999999</v>
      </c>
      <c r="K20" s="20">
        <v>0</v>
      </c>
    </row>
    <row r="21" spans="1:11" x14ac:dyDescent="0.25">
      <c r="A21" s="21" t="s">
        <v>45</v>
      </c>
      <c r="B21" s="21" t="s">
        <v>64</v>
      </c>
      <c r="C21" s="21" t="s">
        <v>50</v>
      </c>
      <c r="D21" s="21">
        <v>0.75</v>
      </c>
      <c r="E21" s="21">
        <v>15</v>
      </c>
      <c r="F21" s="22">
        <v>356.06</v>
      </c>
      <c r="G21" s="22">
        <v>356.06</v>
      </c>
      <c r="H21" s="22">
        <v>356.06</v>
      </c>
      <c r="I21" s="22">
        <v>0</v>
      </c>
      <c r="J21" s="23">
        <v>10.000999999999999</v>
      </c>
      <c r="K21" s="24">
        <v>0</v>
      </c>
    </row>
    <row r="22" spans="1:11" x14ac:dyDescent="0.25">
      <c r="A22" s="17" t="s">
        <v>45</v>
      </c>
      <c r="B22" s="17" t="s">
        <v>64</v>
      </c>
      <c r="C22" s="17" t="s">
        <v>46</v>
      </c>
      <c r="D22" s="17">
        <v>0.9</v>
      </c>
      <c r="E22" s="17">
        <v>15</v>
      </c>
      <c r="F22" s="18">
        <v>360.15</v>
      </c>
      <c r="G22" s="18">
        <v>360.15</v>
      </c>
      <c r="H22" s="18">
        <v>360.15</v>
      </c>
      <c r="I22" s="18">
        <v>0</v>
      </c>
      <c r="J22" s="19">
        <v>10</v>
      </c>
      <c r="K22" s="20">
        <v>0</v>
      </c>
    </row>
    <row r="23" spans="1:11" x14ac:dyDescent="0.25">
      <c r="A23" s="21" t="s">
        <v>45</v>
      </c>
      <c r="B23" s="21" t="s">
        <v>64</v>
      </c>
      <c r="C23" s="21" t="s">
        <v>47</v>
      </c>
      <c r="D23" s="21">
        <v>0.9</v>
      </c>
      <c r="E23" s="21">
        <v>15</v>
      </c>
      <c r="F23" s="22">
        <v>355.72</v>
      </c>
      <c r="G23" s="22">
        <v>355.72</v>
      </c>
      <c r="H23" s="22">
        <v>355.72</v>
      </c>
      <c r="I23" s="22">
        <v>0</v>
      </c>
      <c r="J23" s="23">
        <v>10</v>
      </c>
      <c r="K23" s="24">
        <v>0</v>
      </c>
    </row>
    <row r="24" spans="1:11" x14ac:dyDescent="0.25">
      <c r="A24" s="17" t="s">
        <v>45</v>
      </c>
      <c r="B24" s="17" t="s">
        <v>64</v>
      </c>
      <c r="C24" s="17" t="s">
        <v>48</v>
      </c>
      <c r="D24" s="17">
        <v>0.9</v>
      </c>
      <c r="E24" s="17">
        <v>15</v>
      </c>
      <c r="F24" s="18">
        <v>355.5</v>
      </c>
      <c r="G24" s="18">
        <v>355.5</v>
      </c>
      <c r="H24" s="18">
        <v>355.5</v>
      </c>
      <c r="I24" s="18">
        <v>0</v>
      </c>
      <c r="J24" s="19">
        <v>10</v>
      </c>
      <c r="K24" s="20">
        <v>0</v>
      </c>
    </row>
    <row r="25" spans="1:11" x14ac:dyDescent="0.25">
      <c r="A25" s="21" t="s">
        <v>45</v>
      </c>
      <c r="B25" s="21" t="s">
        <v>64</v>
      </c>
      <c r="C25" s="21" t="s">
        <v>49</v>
      </c>
      <c r="D25" s="21">
        <v>0.9</v>
      </c>
      <c r="E25" s="21">
        <v>15</v>
      </c>
      <c r="F25" s="22">
        <v>354.25</v>
      </c>
      <c r="G25" s="22">
        <v>354.25</v>
      </c>
      <c r="H25" s="22">
        <v>354.25</v>
      </c>
      <c r="I25" s="22">
        <v>0</v>
      </c>
      <c r="J25" s="23">
        <v>10</v>
      </c>
      <c r="K25" s="24">
        <v>0</v>
      </c>
    </row>
    <row r="26" spans="1:11" x14ac:dyDescent="0.25">
      <c r="A26" s="17" t="s">
        <v>45</v>
      </c>
      <c r="B26" s="17" t="s">
        <v>64</v>
      </c>
      <c r="C26" s="17" t="s">
        <v>50</v>
      </c>
      <c r="D26" s="17">
        <v>0.9</v>
      </c>
      <c r="E26" s="17">
        <v>15</v>
      </c>
      <c r="F26" s="18">
        <v>356.06</v>
      </c>
      <c r="G26" s="18">
        <v>356.06</v>
      </c>
      <c r="H26" s="18">
        <v>356.06</v>
      </c>
      <c r="I26" s="18">
        <v>0</v>
      </c>
      <c r="J26" s="19">
        <v>10.000999999999999</v>
      </c>
      <c r="K26" s="20">
        <v>0</v>
      </c>
    </row>
    <row r="27" spans="1:11" x14ac:dyDescent="0.25">
      <c r="A27" s="21" t="s">
        <v>45</v>
      </c>
      <c r="B27" s="21" t="s">
        <v>64</v>
      </c>
      <c r="C27" s="21" t="s">
        <v>46</v>
      </c>
      <c r="D27" s="21" t="s">
        <v>51</v>
      </c>
      <c r="E27" s="21">
        <v>15</v>
      </c>
      <c r="F27" s="22">
        <v>359.25</v>
      </c>
      <c r="G27" s="22">
        <v>360.15</v>
      </c>
      <c r="H27" s="22">
        <v>357.44</v>
      </c>
      <c r="I27" s="22">
        <v>1.5646</v>
      </c>
      <c r="J27" s="23">
        <v>10</v>
      </c>
      <c r="K27" s="24">
        <v>9.5699999999999993E-2</v>
      </c>
    </row>
    <row r="28" spans="1:11" x14ac:dyDescent="0.25">
      <c r="A28" s="17" t="s">
        <v>45</v>
      </c>
      <c r="B28" s="17" t="s">
        <v>64</v>
      </c>
      <c r="C28" s="17" t="s">
        <v>47</v>
      </c>
      <c r="D28" s="17" t="s">
        <v>51</v>
      </c>
      <c r="E28" s="17">
        <v>15</v>
      </c>
      <c r="F28" s="18">
        <v>355.72</v>
      </c>
      <c r="G28" s="18">
        <v>355.72</v>
      </c>
      <c r="H28" s="18">
        <v>355.72</v>
      </c>
      <c r="I28" s="18">
        <v>0</v>
      </c>
      <c r="J28" s="19">
        <v>10</v>
      </c>
      <c r="K28" s="20">
        <v>9.5699999999999993E-2</v>
      </c>
    </row>
    <row r="29" spans="1:11" x14ac:dyDescent="0.25">
      <c r="A29" s="21" t="s">
        <v>45</v>
      </c>
      <c r="B29" s="21" t="s">
        <v>64</v>
      </c>
      <c r="C29" s="21" t="s">
        <v>48</v>
      </c>
      <c r="D29" s="21" t="s">
        <v>51</v>
      </c>
      <c r="E29" s="21">
        <v>15</v>
      </c>
      <c r="F29" s="22">
        <v>355.5</v>
      </c>
      <c r="G29" s="22">
        <v>355.5</v>
      </c>
      <c r="H29" s="22">
        <v>355.5</v>
      </c>
      <c r="I29" s="22">
        <v>0</v>
      </c>
      <c r="J29" s="23">
        <v>10.000999999999999</v>
      </c>
      <c r="K29" s="24">
        <v>9.5699999999999993E-2</v>
      </c>
    </row>
    <row r="30" spans="1:11" x14ac:dyDescent="0.25">
      <c r="A30" s="17" t="s">
        <v>45</v>
      </c>
      <c r="B30" s="17" t="s">
        <v>64</v>
      </c>
      <c r="C30" s="17" t="s">
        <v>49</v>
      </c>
      <c r="D30" s="17" t="s">
        <v>51</v>
      </c>
      <c r="E30" s="17">
        <v>15</v>
      </c>
      <c r="F30" s="18">
        <v>353.44</v>
      </c>
      <c r="G30" s="18">
        <v>354.25</v>
      </c>
      <c r="H30" s="18">
        <v>351.82</v>
      </c>
      <c r="I30" s="18">
        <v>1.403</v>
      </c>
      <c r="J30" s="19">
        <v>10.000999999999999</v>
      </c>
      <c r="K30" s="20">
        <v>9.5699999999999993E-2</v>
      </c>
    </row>
    <row r="31" spans="1:11" x14ac:dyDescent="0.25">
      <c r="A31" s="21" t="s">
        <v>45</v>
      </c>
      <c r="B31" s="21" t="s">
        <v>64</v>
      </c>
      <c r="C31" s="21" t="s">
        <v>50</v>
      </c>
      <c r="D31" s="21" t="s">
        <v>51</v>
      </c>
      <c r="E31" s="21">
        <v>15</v>
      </c>
      <c r="F31" s="22">
        <v>356.06</v>
      </c>
      <c r="G31" s="22">
        <v>356.06</v>
      </c>
      <c r="H31" s="22">
        <v>356.06</v>
      </c>
      <c r="I31" s="22">
        <v>0</v>
      </c>
      <c r="J31" s="23">
        <v>10.000999999999999</v>
      </c>
      <c r="K31" s="24">
        <v>9.5699999999999993E-2</v>
      </c>
    </row>
    <row r="32" spans="1:11" x14ac:dyDescent="0.25">
      <c r="A32" s="17" t="s">
        <v>45</v>
      </c>
      <c r="B32" s="17" t="s">
        <v>65</v>
      </c>
      <c r="C32" s="17" t="s">
        <v>46</v>
      </c>
      <c r="D32" s="17">
        <v>0.25</v>
      </c>
      <c r="E32" s="17">
        <v>5</v>
      </c>
      <c r="F32" s="18">
        <v>360.15</v>
      </c>
      <c r="G32" s="18">
        <v>360.15</v>
      </c>
      <c r="H32" s="18">
        <v>360.15</v>
      </c>
      <c r="I32" s="18">
        <v>0</v>
      </c>
      <c r="J32" s="19">
        <v>10</v>
      </c>
      <c r="K32" s="20">
        <v>0.27060000000000001</v>
      </c>
    </row>
    <row r="33" spans="1:11" x14ac:dyDescent="0.25">
      <c r="A33" s="21" t="s">
        <v>45</v>
      </c>
      <c r="B33" s="21" t="s">
        <v>65</v>
      </c>
      <c r="C33" s="21" t="s">
        <v>47</v>
      </c>
      <c r="D33" s="21">
        <v>0.25</v>
      </c>
      <c r="E33" s="21">
        <v>5</v>
      </c>
      <c r="F33" s="22">
        <v>355.72</v>
      </c>
      <c r="G33" s="22">
        <v>355.72</v>
      </c>
      <c r="H33" s="22">
        <v>355.72</v>
      </c>
      <c r="I33" s="22">
        <v>0</v>
      </c>
      <c r="J33" s="23">
        <v>10.000999999999999</v>
      </c>
      <c r="K33" s="24">
        <v>0.27060000000000001</v>
      </c>
    </row>
    <row r="34" spans="1:11" x14ac:dyDescent="0.25">
      <c r="A34" s="17" t="s">
        <v>45</v>
      </c>
      <c r="B34" s="17" t="s">
        <v>65</v>
      </c>
      <c r="C34" s="17" t="s">
        <v>48</v>
      </c>
      <c r="D34" s="17">
        <v>0.25</v>
      </c>
      <c r="E34" s="17">
        <v>5</v>
      </c>
      <c r="F34" s="18">
        <v>355.5</v>
      </c>
      <c r="G34" s="18">
        <v>355.5</v>
      </c>
      <c r="H34" s="18">
        <v>355.5</v>
      </c>
      <c r="I34" s="18">
        <v>0</v>
      </c>
      <c r="J34" s="19">
        <v>10</v>
      </c>
      <c r="K34" s="20">
        <v>0.27060000000000001</v>
      </c>
    </row>
    <row r="35" spans="1:11" x14ac:dyDescent="0.25">
      <c r="A35" s="21" t="s">
        <v>45</v>
      </c>
      <c r="B35" s="21" t="s">
        <v>65</v>
      </c>
      <c r="C35" s="21" t="s">
        <v>49</v>
      </c>
      <c r="D35" s="21">
        <v>0.25</v>
      </c>
      <c r="E35" s="21">
        <v>5</v>
      </c>
      <c r="F35" s="22">
        <v>352.68</v>
      </c>
      <c r="G35" s="22">
        <v>354.25</v>
      </c>
      <c r="H35" s="22">
        <v>349.53</v>
      </c>
      <c r="I35" s="22">
        <v>2.7250999999999999</v>
      </c>
      <c r="J35" s="23">
        <v>10.000999999999999</v>
      </c>
      <c r="K35" s="24">
        <v>0.27060000000000001</v>
      </c>
    </row>
    <row r="36" spans="1:11" x14ac:dyDescent="0.25">
      <c r="A36" s="17" t="s">
        <v>45</v>
      </c>
      <c r="B36" s="17" t="s">
        <v>65</v>
      </c>
      <c r="C36" s="17" t="s">
        <v>50</v>
      </c>
      <c r="D36" s="17">
        <v>0.25</v>
      </c>
      <c r="E36" s="17">
        <v>5</v>
      </c>
      <c r="F36" s="18">
        <v>352.82</v>
      </c>
      <c r="G36" s="18">
        <v>356.06</v>
      </c>
      <c r="H36" s="18">
        <v>349.81</v>
      </c>
      <c r="I36" s="18">
        <v>3.1313</v>
      </c>
      <c r="J36" s="19">
        <v>10.000999999999999</v>
      </c>
      <c r="K36" s="20">
        <v>0.27060000000000001</v>
      </c>
    </row>
    <row r="37" spans="1:11" x14ac:dyDescent="0.25">
      <c r="A37" s="21" t="s">
        <v>45</v>
      </c>
      <c r="B37" s="21" t="s">
        <v>65</v>
      </c>
      <c r="C37" s="21" t="s">
        <v>46</v>
      </c>
      <c r="D37" s="21">
        <v>0.25</v>
      </c>
      <c r="E37" s="21">
        <v>10</v>
      </c>
      <c r="F37" s="22">
        <v>360.15</v>
      </c>
      <c r="G37" s="22">
        <v>360.15</v>
      </c>
      <c r="H37" s="22">
        <v>360.15</v>
      </c>
      <c r="I37" s="22">
        <v>0</v>
      </c>
      <c r="J37" s="23">
        <v>10.000999999999999</v>
      </c>
      <c r="K37" s="24">
        <v>0</v>
      </c>
    </row>
    <row r="38" spans="1:11" x14ac:dyDescent="0.25">
      <c r="A38" s="17" t="s">
        <v>45</v>
      </c>
      <c r="B38" s="17" t="s">
        <v>65</v>
      </c>
      <c r="C38" s="17" t="s">
        <v>47</v>
      </c>
      <c r="D38" s="17">
        <v>0.25</v>
      </c>
      <c r="E38" s="17">
        <v>10</v>
      </c>
      <c r="F38" s="18">
        <v>355.72</v>
      </c>
      <c r="G38" s="18">
        <v>355.72</v>
      </c>
      <c r="H38" s="18">
        <v>355.72</v>
      </c>
      <c r="I38" s="18">
        <v>0</v>
      </c>
      <c r="J38" s="19">
        <v>10</v>
      </c>
      <c r="K38" s="20">
        <v>0</v>
      </c>
    </row>
    <row r="39" spans="1:11" x14ac:dyDescent="0.25">
      <c r="A39" s="21" t="s">
        <v>45</v>
      </c>
      <c r="B39" s="21" t="s">
        <v>65</v>
      </c>
      <c r="C39" s="21" t="s">
        <v>48</v>
      </c>
      <c r="D39" s="21">
        <v>0.25</v>
      </c>
      <c r="E39" s="21">
        <v>10</v>
      </c>
      <c r="F39" s="22">
        <v>355.5</v>
      </c>
      <c r="G39" s="22">
        <v>355.5</v>
      </c>
      <c r="H39" s="22">
        <v>355.5</v>
      </c>
      <c r="I39" s="22">
        <v>0</v>
      </c>
      <c r="J39" s="23">
        <v>10.000999999999999</v>
      </c>
      <c r="K39" s="24">
        <v>0</v>
      </c>
    </row>
    <row r="40" spans="1:11" x14ac:dyDescent="0.25">
      <c r="A40" s="17" t="s">
        <v>45</v>
      </c>
      <c r="B40" s="17" t="s">
        <v>65</v>
      </c>
      <c r="C40" s="17" t="s">
        <v>49</v>
      </c>
      <c r="D40" s="17">
        <v>0.25</v>
      </c>
      <c r="E40" s="17">
        <v>10</v>
      </c>
      <c r="F40" s="18">
        <v>354.25</v>
      </c>
      <c r="G40" s="18">
        <v>354.25</v>
      </c>
      <c r="H40" s="18">
        <v>354.25</v>
      </c>
      <c r="I40" s="18">
        <v>0</v>
      </c>
      <c r="J40" s="19">
        <v>10.000999999999999</v>
      </c>
      <c r="K40" s="20">
        <v>0</v>
      </c>
    </row>
    <row r="41" spans="1:11" x14ac:dyDescent="0.25">
      <c r="A41" s="21" t="s">
        <v>45</v>
      </c>
      <c r="B41" s="21" t="s">
        <v>65</v>
      </c>
      <c r="C41" s="21" t="s">
        <v>50</v>
      </c>
      <c r="D41" s="21">
        <v>0.25</v>
      </c>
      <c r="E41" s="21">
        <v>10</v>
      </c>
      <c r="F41" s="22">
        <v>356.06</v>
      </c>
      <c r="G41" s="22">
        <v>356.06</v>
      </c>
      <c r="H41" s="22">
        <v>356.06</v>
      </c>
      <c r="I41" s="22">
        <v>0</v>
      </c>
      <c r="J41" s="23">
        <v>10.000999999999999</v>
      </c>
      <c r="K41" s="24">
        <v>0</v>
      </c>
    </row>
    <row r="42" spans="1:11" x14ac:dyDescent="0.25">
      <c r="A42" s="17" t="s">
        <v>45</v>
      </c>
      <c r="B42" s="17" t="s">
        <v>65</v>
      </c>
      <c r="C42" s="17" t="s">
        <v>46</v>
      </c>
      <c r="D42" s="17">
        <v>0.25</v>
      </c>
      <c r="E42" s="17">
        <v>15</v>
      </c>
      <c r="F42" s="18">
        <v>360.15</v>
      </c>
      <c r="G42" s="18">
        <v>360.15</v>
      </c>
      <c r="H42" s="18">
        <v>360.15</v>
      </c>
      <c r="I42" s="18">
        <v>0</v>
      </c>
      <c r="J42" s="19">
        <v>10.000999999999999</v>
      </c>
      <c r="K42" s="20">
        <v>0</v>
      </c>
    </row>
    <row r="43" spans="1:11" x14ac:dyDescent="0.25">
      <c r="A43" s="21" t="s">
        <v>45</v>
      </c>
      <c r="B43" s="21" t="s">
        <v>65</v>
      </c>
      <c r="C43" s="21" t="s">
        <v>47</v>
      </c>
      <c r="D43" s="21">
        <v>0.25</v>
      </c>
      <c r="E43" s="21">
        <v>15</v>
      </c>
      <c r="F43" s="22">
        <v>355.72</v>
      </c>
      <c r="G43" s="22">
        <v>355.72</v>
      </c>
      <c r="H43" s="22">
        <v>355.72</v>
      </c>
      <c r="I43" s="22">
        <v>0</v>
      </c>
      <c r="J43" s="23">
        <v>10</v>
      </c>
      <c r="K43" s="24">
        <v>0</v>
      </c>
    </row>
    <row r="44" spans="1:11" x14ac:dyDescent="0.25">
      <c r="A44" s="17" t="s">
        <v>45</v>
      </c>
      <c r="B44" s="17" t="s">
        <v>65</v>
      </c>
      <c r="C44" s="17" t="s">
        <v>48</v>
      </c>
      <c r="D44" s="17">
        <v>0.25</v>
      </c>
      <c r="E44" s="17">
        <v>15</v>
      </c>
      <c r="F44" s="18">
        <v>355.5</v>
      </c>
      <c r="G44" s="18">
        <v>355.5</v>
      </c>
      <c r="H44" s="18">
        <v>355.5</v>
      </c>
      <c r="I44" s="18">
        <v>0</v>
      </c>
      <c r="J44" s="19">
        <v>10</v>
      </c>
      <c r="K44" s="20">
        <v>0</v>
      </c>
    </row>
    <row r="45" spans="1:11" x14ac:dyDescent="0.25">
      <c r="A45" s="21" t="s">
        <v>45</v>
      </c>
      <c r="B45" s="21" t="s">
        <v>65</v>
      </c>
      <c r="C45" s="21" t="s">
        <v>49</v>
      </c>
      <c r="D45" s="21">
        <v>0.25</v>
      </c>
      <c r="E45" s="21">
        <v>15</v>
      </c>
      <c r="F45" s="22">
        <v>354.25</v>
      </c>
      <c r="G45" s="22">
        <v>354.25</v>
      </c>
      <c r="H45" s="22">
        <v>354.25</v>
      </c>
      <c r="I45" s="22">
        <v>0</v>
      </c>
      <c r="J45" s="23">
        <v>10</v>
      </c>
      <c r="K45" s="24">
        <v>0</v>
      </c>
    </row>
    <row r="46" spans="1:11" x14ac:dyDescent="0.25">
      <c r="A46" s="17" t="s">
        <v>45</v>
      </c>
      <c r="B46" s="17" t="s">
        <v>65</v>
      </c>
      <c r="C46" s="17" t="s">
        <v>50</v>
      </c>
      <c r="D46" s="17">
        <v>0.25</v>
      </c>
      <c r="E46" s="17">
        <v>15</v>
      </c>
      <c r="F46" s="18">
        <v>356.06</v>
      </c>
      <c r="G46" s="18">
        <v>356.06</v>
      </c>
      <c r="H46" s="18">
        <v>356.06</v>
      </c>
      <c r="I46" s="18">
        <v>0</v>
      </c>
      <c r="J46" s="19">
        <v>10.000999999999999</v>
      </c>
      <c r="K46" s="20">
        <v>0</v>
      </c>
    </row>
    <row r="47" spans="1:11" x14ac:dyDescent="0.25">
      <c r="A47" s="21" t="s">
        <v>45</v>
      </c>
      <c r="B47" s="21" t="s">
        <v>65</v>
      </c>
      <c r="C47" s="21" t="s">
        <v>46</v>
      </c>
      <c r="D47" s="21">
        <v>0.25</v>
      </c>
      <c r="E47" s="21">
        <v>20</v>
      </c>
      <c r="F47" s="22">
        <v>360.15</v>
      </c>
      <c r="G47" s="22">
        <v>360.15</v>
      </c>
      <c r="H47" s="22">
        <v>360.15</v>
      </c>
      <c r="I47" s="22">
        <v>0</v>
      </c>
      <c r="J47" s="23">
        <v>10</v>
      </c>
      <c r="K47" s="24">
        <v>0</v>
      </c>
    </row>
    <row r="48" spans="1:11" x14ac:dyDescent="0.25">
      <c r="A48" s="17" t="s">
        <v>45</v>
      </c>
      <c r="B48" s="17" t="s">
        <v>65</v>
      </c>
      <c r="C48" s="17" t="s">
        <v>47</v>
      </c>
      <c r="D48" s="17">
        <v>0.25</v>
      </c>
      <c r="E48" s="17">
        <v>20</v>
      </c>
      <c r="F48" s="18">
        <v>355.72</v>
      </c>
      <c r="G48" s="18">
        <v>355.72</v>
      </c>
      <c r="H48" s="18">
        <v>355.72</v>
      </c>
      <c r="I48" s="18">
        <v>0</v>
      </c>
      <c r="J48" s="19">
        <v>10.000999999999999</v>
      </c>
      <c r="K48" s="20">
        <v>0</v>
      </c>
    </row>
    <row r="49" spans="1:11" x14ac:dyDescent="0.25">
      <c r="A49" s="21" t="s">
        <v>45</v>
      </c>
      <c r="B49" s="21" t="s">
        <v>65</v>
      </c>
      <c r="C49" s="21" t="s">
        <v>48</v>
      </c>
      <c r="D49" s="21">
        <v>0.25</v>
      </c>
      <c r="E49" s="21">
        <v>20</v>
      </c>
      <c r="F49" s="22">
        <v>355.5</v>
      </c>
      <c r="G49" s="22">
        <v>355.5</v>
      </c>
      <c r="H49" s="22">
        <v>355.5</v>
      </c>
      <c r="I49" s="22">
        <v>0</v>
      </c>
      <c r="J49" s="23">
        <v>10.000999999999999</v>
      </c>
      <c r="K49" s="24">
        <v>0</v>
      </c>
    </row>
    <row r="50" spans="1:11" x14ac:dyDescent="0.25">
      <c r="A50" s="17" t="s">
        <v>45</v>
      </c>
      <c r="B50" s="17" t="s">
        <v>65</v>
      </c>
      <c r="C50" s="17" t="s">
        <v>49</v>
      </c>
      <c r="D50" s="17">
        <v>0.25</v>
      </c>
      <c r="E50" s="17">
        <v>20</v>
      </c>
      <c r="F50" s="18">
        <v>354.25</v>
      </c>
      <c r="G50" s="18">
        <v>354.25</v>
      </c>
      <c r="H50" s="18">
        <v>354.25</v>
      </c>
      <c r="I50" s="18">
        <v>0</v>
      </c>
      <c r="J50" s="19">
        <v>10</v>
      </c>
      <c r="K50" s="20">
        <v>0</v>
      </c>
    </row>
    <row r="51" spans="1:11" x14ac:dyDescent="0.25">
      <c r="A51" s="21" t="s">
        <v>45</v>
      </c>
      <c r="B51" s="21" t="s">
        <v>65</v>
      </c>
      <c r="C51" s="21" t="s">
        <v>50</v>
      </c>
      <c r="D51" s="21">
        <v>0.25</v>
      </c>
      <c r="E51" s="21">
        <v>20</v>
      </c>
      <c r="F51" s="22">
        <v>356.06</v>
      </c>
      <c r="G51" s="22">
        <v>356.06</v>
      </c>
      <c r="H51" s="22">
        <v>356.06</v>
      </c>
      <c r="I51" s="22">
        <v>0</v>
      </c>
      <c r="J51" s="23">
        <v>10.000999999999999</v>
      </c>
      <c r="K51" s="24">
        <v>0</v>
      </c>
    </row>
    <row r="52" spans="1:11" x14ac:dyDescent="0.25">
      <c r="A52" s="17" t="s">
        <v>45</v>
      </c>
      <c r="B52" s="17" t="s">
        <v>65</v>
      </c>
      <c r="C52" s="17" t="s">
        <v>46</v>
      </c>
      <c r="D52" s="17">
        <v>0.25</v>
      </c>
      <c r="E52" s="17">
        <v>25</v>
      </c>
      <c r="F52" s="18">
        <v>360.15</v>
      </c>
      <c r="G52" s="18">
        <v>360.15</v>
      </c>
      <c r="H52" s="18">
        <v>360.15</v>
      </c>
      <c r="I52" s="18">
        <v>0</v>
      </c>
      <c r="J52" s="19">
        <v>10.000999999999999</v>
      </c>
      <c r="K52" s="20">
        <v>6.5199999999999994E-2</v>
      </c>
    </row>
    <row r="53" spans="1:11" x14ac:dyDescent="0.25">
      <c r="A53" s="21" t="s">
        <v>45</v>
      </c>
      <c r="B53" s="21" t="s">
        <v>65</v>
      </c>
      <c r="C53" s="21" t="s">
        <v>47</v>
      </c>
      <c r="D53" s="21">
        <v>0.25</v>
      </c>
      <c r="E53" s="21">
        <v>25</v>
      </c>
      <c r="F53" s="22">
        <v>355.72</v>
      </c>
      <c r="G53" s="22">
        <v>355.72</v>
      </c>
      <c r="H53" s="22">
        <v>355.72</v>
      </c>
      <c r="I53" s="22">
        <v>0</v>
      </c>
      <c r="J53" s="23">
        <v>10.000999999999999</v>
      </c>
      <c r="K53" s="24">
        <v>6.5199999999999994E-2</v>
      </c>
    </row>
    <row r="54" spans="1:11" x14ac:dyDescent="0.25">
      <c r="A54" s="17" t="s">
        <v>45</v>
      </c>
      <c r="B54" s="17" t="s">
        <v>65</v>
      </c>
      <c r="C54" s="17" t="s">
        <v>48</v>
      </c>
      <c r="D54" s="17">
        <v>0.25</v>
      </c>
      <c r="E54" s="17">
        <v>25</v>
      </c>
      <c r="F54" s="18">
        <v>355.5</v>
      </c>
      <c r="G54" s="18">
        <v>355.5</v>
      </c>
      <c r="H54" s="18">
        <v>355.5</v>
      </c>
      <c r="I54" s="18">
        <v>0</v>
      </c>
      <c r="J54" s="19">
        <v>10.000999999999999</v>
      </c>
      <c r="K54" s="20">
        <v>6.5199999999999994E-2</v>
      </c>
    </row>
    <row r="55" spans="1:11" x14ac:dyDescent="0.25">
      <c r="A55" s="21" t="s">
        <v>45</v>
      </c>
      <c r="B55" s="21" t="s">
        <v>65</v>
      </c>
      <c r="C55" s="21" t="s">
        <v>49</v>
      </c>
      <c r="D55" s="21">
        <v>0.25</v>
      </c>
      <c r="E55" s="21">
        <v>25</v>
      </c>
      <c r="F55" s="22">
        <v>354.25</v>
      </c>
      <c r="G55" s="22">
        <v>354.25</v>
      </c>
      <c r="H55" s="22">
        <v>354.25</v>
      </c>
      <c r="I55" s="22">
        <v>0</v>
      </c>
      <c r="J55" s="23">
        <v>10.000999999999999</v>
      </c>
      <c r="K55" s="24">
        <v>6.5199999999999994E-2</v>
      </c>
    </row>
    <row r="56" spans="1:11" x14ac:dyDescent="0.25">
      <c r="A56" s="17" t="s">
        <v>45</v>
      </c>
      <c r="B56" s="17" t="s">
        <v>65</v>
      </c>
      <c r="C56" s="17" t="s">
        <v>50</v>
      </c>
      <c r="D56" s="17">
        <v>0.25</v>
      </c>
      <c r="E56" s="17">
        <v>25</v>
      </c>
      <c r="F56" s="18">
        <v>354.9</v>
      </c>
      <c r="G56" s="18">
        <v>356.06</v>
      </c>
      <c r="H56" s="18">
        <v>352.59</v>
      </c>
      <c r="I56" s="18">
        <v>2.0034000000000001</v>
      </c>
      <c r="J56" s="19">
        <v>10.000999999999999</v>
      </c>
      <c r="K56" s="20">
        <v>6.5199999999999994E-2</v>
      </c>
    </row>
    <row r="57" spans="1:11" x14ac:dyDescent="0.25">
      <c r="A57" s="21" t="s">
        <v>45</v>
      </c>
      <c r="B57" s="21" t="s">
        <v>65</v>
      </c>
      <c r="C57" s="21" t="s">
        <v>46</v>
      </c>
      <c r="D57" s="21">
        <v>0.25</v>
      </c>
      <c r="E57" s="21">
        <v>30</v>
      </c>
      <c r="F57" s="22">
        <v>360.15</v>
      </c>
      <c r="G57" s="22">
        <v>360.15</v>
      </c>
      <c r="H57" s="22">
        <v>360.15</v>
      </c>
      <c r="I57" s="22">
        <v>0</v>
      </c>
      <c r="J57" s="23">
        <v>10</v>
      </c>
      <c r="K57" s="24">
        <v>0</v>
      </c>
    </row>
    <row r="58" spans="1:11" x14ac:dyDescent="0.25">
      <c r="A58" s="17" t="s">
        <v>45</v>
      </c>
      <c r="B58" s="17" t="s">
        <v>65</v>
      </c>
      <c r="C58" s="17" t="s">
        <v>47</v>
      </c>
      <c r="D58" s="17">
        <v>0.25</v>
      </c>
      <c r="E58" s="17">
        <v>30</v>
      </c>
      <c r="F58" s="18">
        <v>355.72</v>
      </c>
      <c r="G58" s="18">
        <v>355.72</v>
      </c>
      <c r="H58" s="18">
        <v>355.72</v>
      </c>
      <c r="I58" s="18">
        <v>0</v>
      </c>
      <c r="J58" s="19">
        <v>10</v>
      </c>
      <c r="K58" s="20">
        <v>0</v>
      </c>
    </row>
    <row r="59" spans="1:11" x14ac:dyDescent="0.25">
      <c r="A59" s="21" t="s">
        <v>45</v>
      </c>
      <c r="B59" s="21" t="s">
        <v>65</v>
      </c>
      <c r="C59" s="21" t="s">
        <v>48</v>
      </c>
      <c r="D59" s="21">
        <v>0.25</v>
      </c>
      <c r="E59" s="21">
        <v>30</v>
      </c>
      <c r="F59" s="22">
        <v>355.5</v>
      </c>
      <c r="G59" s="22">
        <v>355.5</v>
      </c>
      <c r="H59" s="22">
        <v>355.5</v>
      </c>
      <c r="I59" s="22">
        <v>0</v>
      </c>
      <c r="J59" s="23">
        <v>10.000999999999999</v>
      </c>
      <c r="K59" s="24">
        <v>0</v>
      </c>
    </row>
    <row r="60" spans="1:11" x14ac:dyDescent="0.25">
      <c r="A60" s="17" t="s">
        <v>45</v>
      </c>
      <c r="B60" s="17" t="s">
        <v>65</v>
      </c>
      <c r="C60" s="17" t="s">
        <v>49</v>
      </c>
      <c r="D60" s="17">
        <v>0.25</v>
      </c>
      <c r="E60" s="17">
        <v>30</v>
      </c>
      <c r="F60" s="18">
        <v>354.25</v>
      </c>
      <c r="G60" s="18">
        <v>354.25</v>
      </c>
      <c r="H60" s="18">
        <v>354.25</v>
      </c>
      <c r="I60" s="18">
        <v>0</v>
      </c>
      <c r="J60" s="19">
        <v>10</v>
      </c>
      <c r="K60" s="20">
        <v>0</v>
      </c>
    </row>
    <row r="61" spans="1:11" x14ac:dyDescent="0.25">
      <c r="A61" s="21" t="s">
        <v>45</v>
      </c>
      <c r="B61" s="21" t="s">
        <v>65</v>
      </c>
      <c r="C61" s="21" t="s">
        <v>50</v>
      </c>
      <c r="D61" s="21">
        <v>0.25</v>
      </c>
      <c r="E61" s="21">
        <v>30</v>
      </c>
      <c r="F61" s="22">
        <v>356.06</v>
      </c>
      <c r="G61" s="22">
        <v>356.06</v>
      </c>
      <c r="H61" s="22">
        <v>356.06</v>
      </c>
      <c r="I61" s="22">
        <v>0</v>
      </c>
      <c r="J61" s="23">
        <v>10.000999999999999</v>
      </c>
      <c r="K61" s="24">
        <v>0</v>
      </c>
    </row>
    <row r="62" spans="1:11" x14ac:dyDescent="0.25">
      <c r="A62" s="17" t="s">
        <v>52</v>
      </c>
      <c r="B62" s="17" t="s">
        <v>64</v>
      </c>
      <c r="C62" s="17" t="s">
        <v>53</v>
      </c>
      <c r="D62" s="17">
        <v>0.1</v>
      </c>
      <c r="E62" s="17">
        <v>15</v>
      </c>
      <c r="F62" s="18">
        <v>7672.9</v>
      </c>
      <c r="G62" s="18">
        <v>7720.25</v>
      </c>
      <c r="H62" s="18">
        <v>7642.02</v>
      </c>
      <c r="I62" s="18">
        <v>41.636400000000002</v>
      </c>
      <c r="J62" s="19">
        <v>10.023</v>
      </c>
      <c r="K62" s="20">
        <v>0.46960000000000002</v>
      </c>
    </row>
    <row r="63" spans="1:11" x14ac:dyDescent="0.25">
      <c r="A63" s="21" t="s">
        <v>52</v>
      </c>
      <c r="B63" s="21" t="s">
        <v>64</v>
      </c>
      <c r="C63" s="21" t="s">
        <v>54</v>
      </c>
      <c r="D63" s="21">
        <v>0.1</v>
      </c>
      <c r="E63" s="21">
        <v>15</v>
      </c>
      <c r="F63" s="22">
        <v>7653.6</v>
      </c>
      <c r="G63" s="22">
        <v>7696.55</v>
      </c>
      <c r="H63" s="22">
        <v>7624.14</v>
      </c>
      <c r="I63" s="22">
        <v>38.041499999999999</v>
      </c>
      <c r="J63" s="23">
        <v>10.036</v>
      </c>
      <c r="K63" s="24">
        <v>0.46960000000000002</v>
      </c>
    </row>
    <row r="64" spans="1:11" x14ac:dyDescent="0.25">
      <c r="A64" s="17" t="s">
        <v>52</v>
      </c>
      <c r="B64" s="17" t="s">
        <v>64</v>
      </c>
      <c r="C64" s="17" t="s">
        <v>55</v>
      </c>
      <c r="D64" s="17">
        <v>0.1</v>
      </c>
      <c r="E64" s="17">
        <v>15</v>
      </c>
      <c r="F64" s="18">
        <v>7671.12</v>
      </c>
      <c r="G64" s="18">
        <v>7700.44</v>
      </c>
      <c r="H64" s="18">
        <v>7652.25</v>
      </c>
      <c r="I64" s="18">
        <v>25.740500000000001</v>
      </c>
      <c r="J64" s="19">
        <v>10.037000000000001</v>
      </c>
      <c r="K64" s="20">
        <v>0.46960000000000002</v>
      </c>
    </row>
    <row r="65" spans="1:11" x14ac:dyDescent="0.25">
      <c r="A65" s="21" t="s">
        <v>52</v>
      </c>
      <c r="B65" s="21" t="s">
        <v>64</v>
      </c>
      <c r="C65" s="21" t="s">
        <v>56</v>
      </c>
      <c r="D65" s="21">
        <v>0.1</v>
      </c>
      <c r="E65" s="21">
        <v>15</v>
      </c>
      <c r="F65" s="22">
        <v>7707.93</v>
      </c>
      <c r="G65" s="22">
        <v>7725.68</v>
      </c>
      <c r="H65" s="22">
        <v>7681.79</v>
      </c>
      <c r="I65" s="22">
        <v>23.114799999999999</v>
      </c>
      <c r="J65" s="23">
        <v>10.025</v>
      </c>
      <c r="K65" s="24">
        <v>0.46960000000000002</v>
      </c>
    </row>
    <row r="66" spans="1:11" x14ac:dyDescent="0.25">
      <c r="A66" s="17" t="s">
        <v>52</v>
      </c>
      <c r="B66" s="17" t="s">
        <v>64</v>
      </c>
      <c r="C66" s="17" t="s">
        <v>57</v>
      </c>
      <c r="D66" s="17">
        <v>0.1</v>
      </c>
      <c r="E66" s="17">
        <v>15</v>
      </c>
      <c r="F66" s="18">
        <v>7660.04</v>
      </c>
      <c r="G66" s="18">
        <v>7710.71</v>
      </c>
      <c r="H66" s="18">
        <v>7630.49</v>
      </c>
      <c r="I66" s="18">
        <v>44.083500000000001</v>
      </c>
      <c r="J66" s="19">
        <v>10.023</v>
      </c>
      <c r="K66" s="20">
        <v>0.46960000000000002</v>
      </c>
    </row>
    <row r="67" spans="1:11" x14ac:dyDescent="0.25">
      <c r="A67" s="21" t="s">
        <v>52</v>
      </c>
      <c r="B67" s="21" t="s">
        <v>64</v>
      </c>
      <c r="C67" s="21" t="s">
        <v>53</v>
      </c>
      <c r="D67" s="21">
        <v>0.25</v>
      </c>
      <c r="E67" s="21">
        <v>15</v>
      </c>
      <c r="F67" s="22">
        <v>7673.09</v>
      </c>
      <c r="G67" s="22">
        <v>7692.59</v>
      </c>
      <c r="H67" s="22">
        <v>7638.66</v>
      </c>
      <c r="I67" s="22">
        <v>29.904699999999998</v>
      </c>
      <c r="J67" s="23">
        <v>10.041</v>
      </c>
      <c r="K67" s="24">
        <v>0.33189999999999997</v>
      </c>
    </row>
    <row r="68" spans="1:11" x14ac:dyDescent="0.25">
      <c r="A68" s="17" t="s">
        <v>52</v>
      </c>
      <c r="B68" s="17" t="s">
        <v>64</v>
      </c>
      <c r="C68" s="17" t="s">
        <v>54</v>
      </c>
      <c r="D68" s="17">
        <v>0.25</v>
      </c>
      <c r="E68" s="17">
        <v>15</v>
      </c>
      <c r="F68" s="18">
        <v>7676.62</v>
      </c>
      <c r="G68" s="18">
        <v>7710.07</v>
      </c>
      <c r="H68" s="18">
        <v>7634.55</v>
      </c>
      <c r="I68" s="18">
        <v>38.489699999999999</v>
      </c>
      <c r="J68" s="19">
        <v>10.021000000000001</v>
      </c>
      <c r="K68" s="20">
        <v>0.33189999999999997</v>
      </c>
    </row>
    <row r="69" spans="1:11" x14ac:dyDescent="0.25">
      <c r="A69" s="21" t="s">
        <v>52</v>
      </c>
      <c r="B69" s="21" t="s">
        <v>64</v>
      </c>
      <c r="C69" s="21" t="s">
        <v>55</v>
      </c>
      <c r="D69" s="21">
        <v>0.25</v>
      </c>
      <c r="E69" s="21">
        <v>15</v>
      </c>
      <c r="F69" s="22">
        <v>7670.73</v>
      </c>
      <c r="G69" s="22">
        <v>7692.24</v>
      </c>
      <c r="H69" s="22">
        <v>7645.36</v>
      </c>
      <c r="I69" s="22">
        <v>23.678000000000001</v>
      </c>
      <c r="J69" s="23">
        <v>10.022</v>
      </c>
      <c r="K69" s="24">
        <v>0.33189999999999997</v>
      </c>
    </row>
    <row r="70" spans="1:11" x14ac:dyDescent="0.25">
      <c r="A70" s="17" t="s">
        <v>52</v>
      </c>
      <c r="B70" s="17" t="s">
        <v>64</v>
      </c>
      <c r="C70" s="17" t="s">
        <v>56</v>
      </c>
      <c r="D70" s="17">
        <v>0.25</v>
      </c>
      <c r="E70" s="17">
        <v>15</v>
      </c>
      <c r="F70" s="18">
        <v>7685.75</v>
      </c>
      <c r="G70" s="18">
        <v>7705.62</v>
      </c>
      <c r="H70" s="18">
        <v>7658.79</v>
      </c>
      <c r="I70" s="18">
        <v>24.205200000000001</v>
      </c>
      <c r="J70" s="19">
        <v>10.031000000000001</v>
      </c>
      <c r="K70" s="20">
        <v>0.33189999999999997</v>
      </c>
    </row>
    <row r="71" spans="1:11" x14ac:dyDescent="0.25">
      <c r="A71" s="21" t="s">
        <v>52</v>
      </c>
      <c r="B71" s="21" t="s">
        <v>64</v>
      </c>
      <c r="C71" s="21" t="s">
        <v>57</v>
      </c>
      <c r="D71" s="21">
        <v>0.25</v>
      </c>
      <c r="E71" s="21">
        <v>15</v>
      </c>
      <c r="F71" s="22">
        <v>7712.72</v>
      </c>
      <c r="G71" s="22">
        <v>7723.99</v>
      </c>
      <c r="H71" s="22">
        <v>7692.15</v>
      </c>
      <c r="I71" s="22">
        <v>17.8414</v>
      </c>
      <c r="J71" s="23">
        <v>10.047000000000001</v>
      </c>
      <c r="K71" s="24">
        <v>0.33189999999999997</v>
      </c>
    </row>
    <row r="72" spans="1:11" x14ac:dyDescent="0.25">
      <c r="A72" s="17" t="s">
        <v>52</v>
      </c>
      <c r="B72" s="17" t="s">
        <v>64</v>
      </c>
      <c r="C72" s="17" t="s">
        <v>53</v>
      </c>
      <c r="D72" s="17">
        <v>0.5</v>
      </c>
      <c r="E72" s="17">
        <v>15</v>
      </c>
      <c r="F72" s="18">
        <v>7667.18</v>
      </c>
      <c r="G72" s="18">
        <v>7728.36</v>
      </c>
      <c r="H72" s="18">
        <v>7632.04</v>
      </c>
      <c r="I72" s="18">
        <v>53.178400000000003</v>
      </c>
      <c r="J72" s="19">
        <v>10.032</v>
      </c>
      <c r="K72" s="20">
        <v>0.51060000000000005</v>
      </c>
    </row>
    <row r="73" spans="1:11" x14ac:dyDescent="0.25">
      <c r="A73" s="21" t="s">
        <v>52</v>
      </c>
      <c r="B73" s="21" t="s">
        <v>64</v>
      </c>
      <c r="C73" s="21" t="s">
        <v>54</v>
      </c>
      <c r="D73" s="21">
        <v>0.5</v>
      </c>
      <c r="E73" s="21">
        <v>15</v>
      </c>
      <c r="F73" s="22">
        <v>7637.77</v>
      </c>
      <c r="G73" s="22">
        <v>7648.01</v>
      </c>
      <c r="H73" s="22">
        <v>7618.51</v>
      </c>
      <c r="I73" s="22">
        <v>16.688099999999999</v>
      </c>
      <c r="J73" s="23">
        <v>10.029</v>
      </c>
      <c r="K73" s="24">
        <v>0.51060000000000005</v>
      </c>
    </row>
    <row r="74" spans="1:11" x14ac:dyDescent="0.25">
      <c r="A74" s="17" t="s">
        <v>52</v>
      </c>
      <c r="B74" s="17" t="s">
        <v>64</v>
      </c>
      <c r="C74" s="17" t="s">
        <v>55</v>
      </c>
      <c r="D74" s="17">
        <v>0.5</v>
      </c>
      <c r="E74" s="17">
        <v>15</v>
      </c>
      <c r="F74" s="18">
        <v>7666.24</v>
      </c>
      <c r="G74" s="18">
        <v>7682.09</v>
      </c>
      <c r="H74" s="18">
        <v>7658.21</v>
      </c>
      <c r="I74" s="18">
        <v>13.726900000000001</v>
      </c>
      <c r="J74" s="19">
        <v>10.034000000000001</v>
      </c>
      <c r="K74" s="20">
        <v>0.51060000000000005</v>
      </c>
    </row>
    <row r="75" spans="1:11" x14ac:dyDescent="0.25">
      <c r="A75" s="21" t="s">
        <v>52</v>
      </c>
      <c r="B75" s="21" t="s">
        <v>64</v>
      </c>
      <c r="C75" s="21" t="s">
        <v>56</v>
      </c>
      <c r="D75" s="21">
        <v>0.5</v>
      </c>
      <c r="E75" s="21">
        <v>15</v>
      </c>
      <c r="F75" s="22">
        <v>7661.38</v>
      </c>
      <c r="G75" s="22">
        <v>7707.48</v>
      </c>
      <c r="H75" s="22">
        <v>7619.5</v>
      </c>
      <c r="I75" s="22">
        <v>44.141500000000001</v>
      </c>
      <c r="J75" s="23">
        <v>10.035</v>
      </c>
      <c r="K75" s="24">
        <v>0.51060000000000005</v>
      </c>
    </row>
    <row r="76" spans="1:11" x14ac:dyDescent="0.25">
      <c r="A76" s="17" t="s">
        <v>52</v>
      </c>
      <c r="B76" s="17" t="s">
        <v>64</v>
      </c>
      <c r="C76" s="17" t="s">
        <v>57</v>
      </c>
      <c r="D76" s="17">
        <v>0.5</v>
      </c>
      <c r="E76" s="17">
        <v>15</v>
      </c>
      <c r="F76" s="18">
        <v>7717.66</v>
      </c>
      <c r="G76" s="18">
        <v>7733.08</v>
      </c>
      <c r="H76" s="18">
        <v>7696.77</v>
      </c>
      <c r="I76" s="18">
        <v>18.762899999999998</v>
      </c>
      <c r="J76" s="19">
        <v>10.022</v>
      </c>
      <c r="K76" s="20">
        <v>0.51060000000000005</v>
      </c>
    </row>
    <row r="77" spans="1:11" x14ac:dyDescent="0.25">
      <c r="A77" s="21" t="s">
        <v>52</v>
      </c>
      <c r="B77" s="21" t="s">
        <v>64</v>
      </c>
      <c r="C77" s="21" t="s">
        <v>53</v>
      </c>
      <c r="D77" s="21">
        <v>0.75</v>
      </c>
      <c r="E77" s="21">
        <v>15</v>
      </c>
      <c r="F77" s="22">
        <v>7665.19</v>
      </c>
      <c r="G77" s="22">
        <v>7684.11</v>
      </c>
      <c r="H77" s="22">
        <v>7648.43</v>
      </c>
      <c r="I77" s="22">
        <v>17.937200000000001</v>
      </c>
      <c r="J77" s="23">
        <v>10.026</v>
      </c>
      <c r="K77" s="24">
        <v>0.26350000000000001</v>
      </c>
    </row>
    <row r="78" spans="1:11" x14ac:dyDescent="0.25">
      <c r="A78" s="17" t="s">
        <v>52</v>
      </c>
      <c r="B78" s="17" t="s">
        <v>64</v>
      </c>
      <c r="C78" s="17" t="s">
        <v>54</v>
      </c>
      <c r="D78" s="17">
        <v>0.75</v>
      </c>
      <c r="E78" s="17">
        <v>15</v>
      </c>
      <c r="F78" s="18">
        <v>7662.49</v>
      </c>
      <c r="G78" s="18">
        <v>7690.92</v>
      </c>
      <c r="H78" s="18">
        <v>7646.69</v>
      </c>
      <c r="I78" s="18">
        <v>24.669499999999999</v>
      </c>
      <c r="J78" s="19">
        <v>10.039</v>
      </c>
      <c r="K78" s="20">
        <v>0.26350000000000001</v>
      </c>
    </row>
    <row r="79" spans="1:11" x14ac:dyDescent="0.25">
      <c r="A79" s="21" t="s">
        <v>52</v>
      </c>
      <c r="B79" s="21" t="s">
        <v>64</v>
      </c>
      <c r="C79" s="21" t="s">
        <v>55</v>
      </c>
      <c r="D79" s="21">
        <v>0.75</v>
      </c>
      <c r="E79" s="21">
        <v>15</v>
      </c>
      <c r="F79" s="22">
        <v>7696.68</v>
      </c>
      <c r="G79" s="22">
        <v>7749.3</v>
      </c>
      <c r="H79" s="22">
        <v>7665.39</v>
      </c>
      <c r="I79" s="22">
        <v>45.8416</v>
      </c>
      <c r="J79" s="23">
        <v>10.023</v>
      </c>
      <c r="K79" s="24">
        <v>0.26350000000000001</v>
      </c>
    </row>
    <row r="80" spans="1:11" x14ac:dyDescent="0.25">
      <c r="A80" s="17" t="s">
        <v>52</v>
      </c>
      <c r="B80" s="17" t="s">
        <v>64</v>
      </c>
      <c r="C80" s="17" t="s">
        <v>56</v>
      </c>
      <c r="D80" s="17">
        <v>0.75</v>
      </c>
      <c r="E80" s="17">
        <v>15</v>
      </c>
      <c r="F80" s="18">
        <v>7711.12</v>
      </c>
      <c r="G80" s="18">
        <v>7735.93</v>
      </c>
      <c r="H80" s="18">
        <v>7690.96</v>
      </c>
      <c r="I80" s="18">
        <v>22.841799999999999</v>
      </c>
      <c r="J80" s="19">
        <v>10.029</v>
      </c>
      <c r="K80" s="20">
        <v>0.26350000000000001</v>
      </c>
    </row>
    <row r="81" spans="1:11" x14ac:dyDescent="0.25">
      <c r="A81" s="21" t="s">
        <v>52</v>
      </c>
      <c r="B81" s="21" t="s">
        <v>64</v>
      </c>
      <c r="C81" s="21" t="s">
        <v>57</v>
      </c>
      <c r="D81" s="21">
        <v>0.75</v>
      </c>
      <c r="E81" s="21">
        <v>15</v>
      </c>
      <c r="F81" s="22">
        <v>7709.78</v>
      </c>
      <c r="G81" s="22">
        <v>7720.29</v>
      </c>
      <c r="H81" s="22">
        <v>7701.16</v>
      </c>
      <c r="I81" s="22">
        <v>9.7030999999999992</v>
      </c>
      <c r="J81" s="23">
        <v>10.029</v>
      </c>
      <c r="K81" s="24">
        <v>0.26350000000000001</v>
      </c>
    </row>
    <row r="82" spans="1:11" x14ac:dyDescent="0.25">
      <c r="A82" s="17" t="s">
        <v>52</v>
      </c>
      <c r="B82" s="17" t="s">
        <v>64</v>
      </c>
      <c r="C82" s="17" t="s">
        <v>53</v>
      </c>
      <c r="D82" s="17">
        <v>0.9</v>
      </c>
      <c r="E82" s="17">
        <v>15</v>
      </c>
      <c r="F82" s="18">
        <v>7705.35</v>
      </c>
      <c r="G82" s="18">
        <v>7756.24</v>
      </c>
      <c r="H82" s="18">
        <v>7649.89</v>
      </c>
      <c r="I82" s="18">
        <v>53.3217</v>
      </c>
      <c r="J82" s="19">
        <v>10.026</v>
      </c>
      <c r="K82" s="20">
        <v>0.1094</v>
      </c>
    </row>
    <row r="83" spans="1:11" x14ac:dyDescent="0.25">
      <c r="A83" s="21" t="s">
        <v>52</v>
      </c>
      <c r="B83" s="21" t="s">
        <v>64</v>
      </c>
      <c r="C83" s="21" t="s">
        <v>54</v>
      </c>
      <c r="D83" s="21">
        <v>0.9</v>
      </c>
      <c r="E83" s="21">
        <v>15</v>
      </c>
      <c r="F83" s="22">
        <v>7676.13</v>
      </c>
      <c r="G83" s="22">
        <v>7755.23</v>
      </c>
      <c r="H83" s="22">
        <v>7610.7</v>
      </c>
      <c r="I83" s="22">
        <v>73.229200000000006</v>
      </c>
      <c r="J83" s="23">
        <v>10.036</v>
      </c>
      <c r="K83" s="24">
        <v>0.1094</v>
      </c>
    </row>
    <row r="84" spans="1:11" x14ac:dyDescent="0.25">
      <c r="A84" s="17" t="s">
        <v>52</v>
      </c>
      <c r="B84" s="17" t="s">
        <v>64</v>
      </c>
      <c r="C84" s="17" t="s">
        <v>55</v>
      </c>
      <c r="D84" s="17">
        <v>0.9</v>
      </c>
      <c r="E84" s="17">
        <v>15</v>
      </c>
      <c r="F84" s="18">
        <v>7682.63</v>
      </c>
      <c r="G84" s="18">
        <v>7726.58</v>
      </c>
      <c r="H84" s="18">
        <v>7638.54</v>
      </c>
      <c r="I84" s="18">
        <v>44.020200000000003</v>
      </c>
      <c r="J84" s="19">
        <v>10.029</v>
      </c>
      <c r="K84" s="20">
        <v>0.1094</v>
      </c>
    </row>
    <row r="85" spans="1:11" x14ac:dyDescent="0.25">
      <c r="A85" s="21" t="s">
        <v>52</v>
      </c>
      <c r="B85" s="21" t="s">
        <v>64</v>
      </c>
      <c r="C85" s="21" t="s">
        <v>56</v>
      </c>
      <c r="D85" s="21">
        <v>0.9</v>
      </c>
      <c r="E85" s="21">
        <v>15</v>
      </c>
      <c r="F85" s="22">
        <v>7683.52</v>
      </c>
      <c r="G85" s="22">
        <v>7711.79</v>
      </c>
      <c r="H85" s="22">
        <v>7642.04</v>
      </c>
      <c r="I85" s="22">
        <v>36.703499999999998</v>
      </c>
      <c r="J85" s="23">
        <v>10.022</v>
      </c>
      <c r="K85" s="24">
        <v>0.1094</v>
      </c>
    </row>
    <row r="86" spans="1:11" x14ac:dyDescent="0.25">
      <c r="A86" s="17" t="s">
        <v>52</v>
      </c>
      <c r="B86" s="17" t="s">
        <v>64</v>
      </c>
      <c r="C86" s="17" t="s">
        <v>57</v>
      </c>
      <c r="D86" s="17">
        <v>0.9</v>
      </c>
      <c r="E86" s="17">
        <v>15</v>
      </c>
      <c r="F86" s="18">
        <v>7757.29</v>
      </c>
      <c r="G86" s="18">
        <v>7780.22</v>
      </c>
      <c r="H86" s="18">
        <v>7725.98</v>
      </c>
      <c r="I86" s="18">
        <v>28.075700000000001</v>
      </c>
      <c r="J86" s="19">
        <v>10.028</v>
      </c>
      <c r="K86" s="20">
        <v>0.1094</v>
      </c>
    </row>
    <row r="87" spans="1:11" x14ac:dyDescent="0.25">
      <c r="A87" s="21" t="s">
        <v>52</v>
      </c>
      <c r="B87" s="21" t="s">
        <v>64</v>
      </c>
      <c r="C87" s="21" t="s">
        <v>53</v>
      </c>
      <c r="D87" s="21" t="s">
        <v>51</v>
      </c>
      <c r="E87" s="21">
        <v>15</v>
      </c>
      <c r="F87" s="22">
        <v>7670.65</v>
      </c>
      <c r="G87" s="22">
        <v>7710.04</v>
      </c>
      <c r="H87" s="22">
        <v>7607.59</v>
      </c>
      <c r="I87" s="22">
        <v>55.174300000000002</v>
      </c>
      <c r="J87" s="23">
        <v>10.029</v>
      </c>
      <c r="K87" s="24">
        <v>0.37140000000000001</v>
      </c>
    </row>
    <row r="88" spans="1:11" x14ac:dyDescent="0.25">
      <c r="A88" s="17" t="s">
        <v>52</v>
      </c>
      <c r="B88" s="17" t="s">
        <v>64</v>
      </c>
      <c r="C88" s="17" t="s">
        <v>54</v>
      </c>
      <c r="D88" s="17" t="s">
        <v>51</v>
      </c>
      <c r="E88" s="17">
        <v>15</v>
      </c>
      <c r="F88" s="18">
        <v>7653.61</v>
      </c>
      <c r="G88" s="18">
        <v>7680.73</v>
      </c>
      <c r="H88" s="18">
        <v>7631.45</v>
      </c>
      <c r="I88" s="18">
        <v>25.011600000000001</v>
      </c>
      <c r="J88" s="19">
        <v>10.021000000000001</v>
      </c>
      <c r="K88" s="20">
        <v>0.37140000000000001</v>
      </c>
    </row>
    <row r="89" spans="1:11" x14ac:dyDescent="0.25">
      <c r="A89" s="21" t="s">
        <v>52</v>
      </c>
      <c r="B89" s="21" t="s">
        <v>64</v>
      </c>
      <c r="C89" s="21" t="s">
        <v>55</v>
      </c>
      <c r="D89" s="21" t="s">
        <v>51</v>
      </c>
      <c r="E89" s="21">
        <v>15</v>
      </c>
      <c r="F89" s="22">
        <v>7675.48</v>
      </c>
      <c r="G89" s="22">
        <v>7684.24</v>
      </c>
      <c r="H89" s="22">
        <v>7663.42</v>
      </c>
      <c r="I89" s="22">
        <v>10.795199999999999</v>
      </c>
      <c r="J89" s="23">
        <v>10.039</v>
      </c>
      <c r="K89" s="24">
        <v>0.37140000000000001</v>
      </c>
    </row>
    <row r="90" spans="1:11" x14ac:dyDescent="0.25">
      <c r="A90" s="17" t="s">
        <v>52</v>
      </c>
      <c r="B90" s="17" t="s">
        <v>64</v>
      </c>
      <c r="C90" s="17" t="s">
        <v>56</v>
      </c>
      <c r="D90" s="17" t="s">
        <v>51</v>
      </c>
      <c r="E90" s="17">
        <v>15</v>
      </c>
      <c r="F90" s="18">
        <v>7694.11</v>
      </c>
      <c r="G90" s="18">
        <v>7728.01</v>
      </c>
      <c r="H90" s="18">
        <v>7637.94</v>
      </c>
      <c r="I90" s="18">
        <v>48.993299999999998</v>
      </c>
      <c r="J90" s="19">
        <v>10.036</v>
      </c>
      <c r="K90" s="20">
        <v>0.37140000000000001</v>
      </c>
    </row>
    <row r="91" spans="1:11" x14ac:dyDescent="0.25">
      <c r="A91" s="21" t="s">
        <v>52</v>
      </c>
      <c r="B91" s="21" t="s">
        <v>64</v>
      </c>
      <c r="C91" s="21" t="s">
        <v>57</v>
      </c>
      <c r="D91" s="21" t="s">
        <v>51</v>
      </c>
      <c r="E91" s="21">
        <v>15</v>
      </c>
      <c r="F91" s="22">
        <v>7709.92</v>
      </c>
      <c r="G91" s="22">
        <v>7732.33</v>
      </c>
      <c r="H91" s="22">
        <v>7698.01</v>
      </c>
      <c r="I91" s="22">
        <v>19.420400000000001</v>
      </c>
      <c r="J91" s="23">
        <v>10.031000000000001</v>
      </c>
      <c r="K91" s="24">
        <v>0.37140000000000001</v>
      </c>
    </row>
    <row r="92" spans="1:11" x14ac:dyDescent="0.25">
      <c r="A92" s="17" t="s">
        <v>52</v>
      </c>
      <c r="B92" s="17" t="s">
        <v>65</v>
      </c>
      <c r="C92" s="17" t="s">
        <v>53</v>
      </c>
      <c r="D92" s="17">
        <v>0.9</v>
      </c>
      <c r="E92" s="17">
        <v>5</v>
      </c>
      <c r="F92" s="18">
        <v>7709.84</v>
      </c>
      <c r="G92" s="18">
        <v>7756.24</v>
      </c>
      <c r="H92" s="18">
        <v>7679.13</v>
      </c>
      <c r="I92" s="18">
        <v>40.879300000000001</v>
      </c>
      <c r="J92" s="19">
        <v>10.038</v>
      </c>
      <c r="K92" s="20">
        <v>0.36230000000000001</v>
      </c>
    </row>
    <row r="93" spans="1:11" x14ac:dyDescent="0.25">
      <c r="A93" s="21" t="s">
        <v>52</v>
      </c>
      <c r="B93" s="21" t="s">
        <v>65</v>
      </c>
      <c r="C93" s="21" t="s">
        <v>54</v>
      </c>
      <c r="D93" s="21">
        <v>0.9</v>
      </c>
      <c r="E93" s="21">
        <v>5</v>
      </c>
      <c r="F93" s="22">
        <v>7650.8</v>
      </c>
      <c r="G93" s="22">
        <v>7711.42</v>
      </c>
      <c r="H93" s="22">
        <v>7578.52</v>
      </c>
      <c r="I93" s="22">
        <v>67.212000000000003</v>
      </c>
      <c r="J93" s="23">
        <v>10.041</v>
      </c>
      <c r="K93" s="24">
        <v>0.36230000000000001</v>
      </c>
    </row>
    <row r="94" spans="1:11" x14ac:dyDescent="0.25">
      <c r="A94" s="17" t="s">
        <v>52</v>
      </c>
      <c r="B94" s="17" t="s">
        <v>65</v>
      </c>
      <c r="C94" s="17" t="s">
        <v>55</v>
      </c>
      <c r="D94" s="17">
        <v>0.9</v>
      </c>
      <c r="E94" s="17">
        <v>5</v>
      </c>
      <c r="F94" s="18">
        <v>7686.35</v>
      </c>
      <c r="G94" s="18">
        <v>7726.58</v>
      </c>
      <c r="H94" s="18">
        <v>7651.19</v>
      </c>
      <c r="I94" s="18">
        <v>37.9499</v>
      </c>
      <c r="J94" s="19">
        <v>10.010999999999999</v>
      </c>
      <c r="K94" s="20">
        <v>0.36230000000000001</v>
      </c>
    </row>
    <row r="95" spans="1:11" x14ac:dyDescent="0.25">
      <c r="A95" s="21" t="s">
        <v>52</v>
      </c>
      <c r="B95" s="21" t="s">
        <v>65</v>
      </c>
      <c r="C95" s="21" t="s">
        <v>56</v>
      </c>
      <c r="D95" s="21">
        <v>0.9</v>
      </c>
      <c r="E95" s="21">
        <v>5</v>
      </c>
      <c r="F95" s="22">
        <v>7677.46</v>
      </c>
      <c r="G95" s="22">
        <v>7732.88</v>
      </c>
      <c r="H95" s="22">
        <v>7602.78</v>
      </c>
      <c r="I95" s="22">
        <v>67.155799999999999</v>
      </c>
      <c r="J95" s="23">
        <v>10.019</v>
      </c>
      <c r="K95" s="24">
        <v>0.36230000000000001</v>
      </c>
    </row>
    <row r="96" spans="1:11" x14ac:dyDescent="0.25">
      <c r="A96" s="17" t="s">
        <v>52</v>
      </c>
      <c r="B96" s="17" t="s">
        <v>65</v>
      </c>
      <c r="C96" s="17" t="s">
        <v>57</v>
      </c>
      <c r="D96" s="17">
        <v>0.9</v>
      </c>
      <c r="E96" s="17">
        <v>5</v>
      </c>
      <c r="F96" s="18">
        <v>7697.31</v>
      </c>
      <c r="G96" s="18">
        <v>7740.16</v>
      </c>
      <c r="H96" s="18">
        <v>7619.12</v>
      </c>
      <c r="I96" s="18">
        <v>67.818600000000004</v>
      </c>
      <c r="J96" s="19">
        <v>10.034000000000001</v>
      </c>
      <c r="K96" s="20">
        <v>0.36230000000000001</v>
      </c>
    </row>
    <row r="97" spans="1:11" x14ac:dyDescent="0.25">
      <c r="A97" s="21" t="s">
        <v>52</v>
      </c>
      <c r="B97" s="21" t="s">
        <v>65</v>
      </c>
      <c r="C97" s="21" t="s">
        <v>53</v>
      </c>
      <c r="D97" s="21">
        <v>0.9</v>
      </c>
      <c r="E97" s="21">
        <v>10</v>
      </c>
      <c r="F97" s="22">
        <v>7692.34</v>
      </c>
      <c r="G97" s="22">
        <v>7756.24</v>
      </c>
      <c r="H97" s="22">
        <v>7632.42</v>
      </c>
      <c r="I97" s="22">
        <v>62.005899999999997</v>
      </c>
      <c r="J97" s="23">
        <v>10.022</v>
      </c>
      <c r="K97" s="24">
        <v>9.06E-2</v>
      </c>
    </row>
    <row r="98" spans="1:11" x14ac:dyDescent="0.25">
      <c r="A98" s="17" t="s">
        <v>52</v>
      </c>
      <c r="B98" s="17" t="s">
        <v>65</v>
      </c>
      <c r="C98" s="17" t="s">
        <v>54</v>
      </c>
      <c r="D98" s="17">
        <v>0.9</v>
      </c>
      <c r="E98" s="17">
        <v>10</v>
      </c>
      <c r="F98" s="18">
        <v>7665.4</v>
      </c>
      <c r="G98" s="18">
        <v>7755.23</v>
      </c>
      <c r="H98" s="18">
        <v>7578.52</v>
      </c>
      <c r="I98" s="18">
        <v>88.391900000000007</v>
      </c>
      <c r="J98" s="19">
        <v>10.026</v>
      </c>
      <c r="K98" s="20">
        <v>9.06E-2</v>
      </c>
    </row>
    <row r="99" spans="1:11" x14ac:dyDescent="0.25">
      <c r="A99" s="21" t="s">
        <v>52</v>
      </c>
      <c r="B99" s="21" t="s">
        <v>65</v>
      </c>
      <c r="C99" s="21" t="s">
        <v>55</v>
      </c>
      <c r="D99" s="21">
        <v>0.9</v>
      </c>
      <c r="E99" s="21">
        <v>10</v>
      </c>
      <c r="F99" s="22">
        <v>7700.69</v>
      </c>
      <c r="G99" s="22">
        <v>7726.58</v>
      </c>
      <c r="H99" s="22">
        <v>7684.76</v>
      </c>
      <c r="I99" s="22">
        <v>22.617000000000001</v>
      </c>
      <c r="J99" s="23">
        <v>10.023</v>
      </c>
      <c r="K99" s="24">
        <v>9.06E-2</v>
      </c>
    </row>
    <row r="100" spans="1:11" x14ac:dyDescent="0.25">
      <c r="A100" s="17" t="s">
        <v>52</v>
      </c>
      <c r="B100" s="17" t="s">
        <v>65</v>
      </c>
      <c r="C100" s="17" t="s">
        <v>56</v>
      </c>
      <c r="D100" s="17">
        <v>0.9</v>
      </c>
      <c r="E100" s="17">
        <v>10</v>
      </c>
      <c r="F100" s="18">
        <v>7697.42</v>
      </c>
      <c r="G100" s="18">
        <v>7722.8</v>
      </c>
      <c r="H100" s="18">
        <v>7672.74</v>
      </c>
      <c r="I100" s="18">
        <v>25.037199999999999</v>
      </c>
      <c r="J100" s="19">
        <v>10.034000000000001</v>
      </c>
      <c r="K100" s="20">
        <v>9.06E-2</v>
      </c>
    </row>
    <row r="101" spans="1:11" x14ac:dyDescent="0.25">
      <c r="A101" s="21" t="s">
        <v>52</v>
      </c>
      <c r="B101" s="21" t="s">
        <v>65</v>
      </c>
      <c r="C101" s="21" t="s">
        <v>57</v>
      </c>
      <c r="D101" s="21">
        <v>0.9</v>
      </c>
      <c r="E101" s="21">
        <v>10</v>
      </c>
      <c r="F101" s="22">
        <v>7771.1</v>
      </c>
      <c r="G101" s="22">
        <v>7780.22</v>
      </c>
      <c r="H101" s="22">
        <v>7764.55</v>
      </c>
      <c r="I101" s="22">
        <v>8.1433999999999997</v>
      </c>
      <c r="J101" s="23">
        <v>10.023999999999999</v>
      </c>
      <c r="K101" s="24">
        <v>9.06E-2</v>
      </c>
    </row>
    <row r="102" spans="1:11" x14ac:dyDescent="0.25">
      <c r="A102" s="17" t="s">
        <v>52</v>
      </c>
      <c r="B102" s="17" t="s">
        <v>65</v>
      </c>
      <c r="C102" s="17" t="s">
        <v>53</v>
      </c>
      <c r="D102" s="17">
        <v>0.9</v>
      </c>
      <c r="E102" s="17">
        <v>15</v>
      </c>
      <c r="F102" s="18">
        <v>7705.35</v>
      </c>
      <c r="G102" s="18">
        <v>7756.24</v>
      </c>
      <c r="H102" s="18">
        <v>7649.89</v>
      </c>
      <c r="I102" s="18">
        <v>53.3217</v>
      </c>
      <c r="J102" s="19">
        <v>10.02</v>
      </c>
      <c r="K102" s="20">
        <v>0.14749999999999999</v>
      </c>
    </row>
    <row r="103" spans="1:11" x14ac:dyDescent="0.25">
      <c r="A103" s="21" t="s">
        <v>52</v>
      </c>
      <c r="B103" s="21" t="s">
        <v>65</v>
      </c>
      <c r="C103" s="21" t="s">
        <v>54</v>
      </c>
      <c r="D103" s="21">
        <v>0.9</v>
      </c>
      <c r="E103" s="21">
        <v>15</v>
      </c>
      <c r="F103" s="22">
        <v>7676.13</v>
      </c>
      <c r="G103" s="22">
        <v>7755.23</v>
      </c>
      <c r="H103" s="22">
        <v>7610.7</v>
      </c>
      <c r="I103" s="22">
        <v>73.229200000000006</v>
      </c>
      <c r="J103" s="23">
        <v>10.039</v>
      </c>
      <c r="K103" s="24">
        <v>0.14749999999999999</v>
      </c>
    </row>
    <row r="104" spans="1:11" x14ac:dyDescent="0.25">
      <c r="A104" s="17" t="s">
        <v>52</v>
      </c>
      <c r="B104" s="17" t="s">
        <v>65</v>
      </c>
      <c r="C104" s="17" t="s">
        <v>55</v>
      </c>
      <c r="D104" s="17">
        <v>0.9</v>
      </c>
      <c r="E104" s="17">
        <v>15</v>
      </c>
      <c r="F104" s="18">
        <v>7682.63</v>
      </c>
      <c r="G104" s="18">
        <v>7726.58</v>
      </c>
      <c r="H104" s="18">
        <v>7638.54</v>
      </c>
      <c r="I104" s="18">
        <v>44.020200000000003</v>
      </c>
      <c r="J104" s="19">
        <v>10.028</v>
      </c>
      <c r="K104" s="20">
        <v>0.14749999999999999</v>
      </c>
    </row>
    <row r="105" spans="1:11" x14ac:dyDescent="0.25">
      <c r="A105" s="21" t="s">
        <v>52</v>
      </c>
      <c r="B105" s="21" t="s">
        <v>65</v>
      </c>
      <c r="C105" s="21" t="s">
        <v>56</v>
      </c>
      <c r="D105" s="21">
        <v>0.9</v>
      </c>
      <c r="E105" s="21">
        <v>15</v>
      </c>
      <c r="F105" s="22">
        <v>7683.52</v>
      </c>
      <c r="G105" s="22">
        <v>7711.79</v>
      </c>
      <c r="H105" s="22">
        <v>7642.04</v>
      </c>
      <c r="I105" s="22">
        <v>36.703499999999998</v>
      </c>
      <c r="J105" s="23">
        <v>10.037000000000001</v>
      </c>
      <c r="K105" s="24">
        <v>0.14749999999999999</v>
      </c>
    </row>
    <row r="106" spans="1:11" x14ac:dyDescent="0.25">
      <c r="A106" s="17" t="s">
        <v>52</v>
      </c>
      <c r="B106" s="17" t="s">
        <v>65</v>
      </c>
      <c r="C106" s="17" t="s">
        <v>57</v>
      </c>
      <c r="D106" s="17">
        <v>0.9</v>
      </c>
      <c r="E106" s="17">
        <v>15</v>
      </c>
      <c r="F106" s="18">
        <v>7757.29</v>
      </c>
      <c r="G106" s="18">
        <v>7780.22</v>
      </c>
      <c r="H106" s="18">
        <v>7725.98</v>
      </c>
      <c r="I106" s="18">
        <v>28.075700000000001</v>
      </c>
      <c r="J106" s="19">
        <v>10.029</v>
      </c>
      <c r="K106" s="20">
        <v>0.14749999999999999</v>
      </c>
    </row>
    <row r="107" spans="1:11" x14ac:dyDescent="0.25">
      <c r="A107" s="21" t="s">
        <v>52</v>
      </c>
      <c r="B107" s="21" t="s">
        <v>65</v>
      </c>
      <c r="C107" s="21" t="s">
        <v>53</v>
      </c>
      <c r="D107" s="21">
        <v>0.9</v>
      </c>
      <c r="E107" s="21">
        <v>20</v>
      </c>
      <c r="F107" s="22">
        <v>7667.46</v>
      </c>
      <c r="G107" s="22">
        <v>7755.63</v>
      </c>
      <c r="H107" s="22">
        <v>7618.81</v>
      </c>
      <c r="I107" s="22">
        <v>76.491200000000006</v>
      </c>
      <c r="J107" s="23">
        <v>10.022</v>
      </c>
      <c r="K107" s="24">
        <v>0.1804</v>
      </c>
    </row>
    <row r="108" spans="1:11" x14ac:dyDescent="0.25">
      <c r="A108" s="17" t="s">
        <v>52</v>
      </c>
      <c r="B108" s="17" t="s">
        <v>65</v>
      </c>
      <c r="C108" s="17" t="s">
        <v>54</v>
      </c>
      <c r="D108" s="17">
        <v>0.9</v>
      </c>
      <c r="E108" s="17">
        <v>20</v>
      </c>
      <c r="F108" s="18">
        <v>7682.78</v>
      </c>
      <c r="G108" s="18">
        <v>7755.23</v>
      </c>
      <c r="H108" s="18">
        <v>7630.66</v>
      </c>
      <c r="I108" s="18">
        <v>64.7256</v>
      </c>
      <c r="J108" s="19">
        <v>10.021000000000001</v>
      </c>
      <c r="K108" s="20">
        <v>0.1804</v>
      </c>
    </row>
    <row r="109" spans="1:11" x14ac:dyDescent="0.25">
      <c r="A109" s="21" t="s">
        <v>52</v>
      </c>
      <c r="B109" s="21" t="s">
        <v>65</v>
      </c>
      <c r="C109" s="21" t="s">
        <v>55</v>
      </c>
      <c r="D109" s="21">
        <v>0.9</v>
      </c>
      <c r="E109" s="21">
        <v>20</v>
      </c>
      <c r="F109" s="22">
        <v>7696.07</v>
      </c>
      <c r="G109" s="22">
        <v>7711.83</v>
      </c>
      <c r="H109" s="22">
        <v>7665.67</v>
      </c>
      <c r="I109" s="22">
        <v>26.333100000000002</v>
      </c>
      <c r="J109" s="23">
        <v>10.022</v>
      </c>
      <c r="K109" s="24">
        <v>0.1804</v>
      </c>
    </row>
    <row r="110" spans="1:11" x14ac:dyDescent="0.25">
      <c r="A110" s="17" t="s">
        <v>52</v>
      </c>
      <c r="B110" s="17" t="s">
        <v>65</v>
      </c>
      <c r="C110" s="17" t="s">
        <v>56</v>
      </c>
      <c r="D110" s="17">
        <v>0.9</v>
      </c>
      <c r="E110" s="17">
        <v>20</v>
      </c>
      <c r="F110" s="18">
        <v>7688.98</v>
      </c>
      <c r="G110" s="18">
        <v>7702.47</v>
      </c>
      <c r="H110" s="18">
        <v>7667.74</v>
      </c>
      <c r="I110" s="18">
        <v>18.616900000000001</v>
      </c>
      <c r="J110" s="19">
        <v>10.029999999999999</v>
      </c>
      <c r="K110" s="20">
        <v>0.1804</v>
      </c>
    </row>
    <row r="111" spans="1:11" x14ac:dyDescent="0.25">
      <c r="A111" s="21" t="s">
        <v>52</v>
      </c>
      <c r="B111" s="21" t="s">
        <v>65</v>
      </c>
      <c r="C111" s="21" t="s">
        <v>57</v>
      </c>
      <c r="D111" s="21">
        <v>0.9</v>
      </c>
      <c r="E111" s="21">
        <v>20</v>
      </c>
      <c r="F111" s="22">
        <v>7756.92</v>
      </c>
      <c r="G111" s="22">
        <v>7780.22</v>
      </c>
      <c r="H111" s="22">
        <v>7725.98</v>
      </c>
      <c r="I111" s="22">
        <v>27.914100000000001</v>
      </c>
      <c r="J111" s="23">
        <v>10.045999999999999</v>
      </c>
      <c r="K111" s="24">
        <v>0.1804</v>
      </c>
    </row>
    <row r="112" spans="1:11" x14ac:dyDescent="0.25">
      <c r="A112" s="17" t="s">
        <v>52</v>
      </c>
      <c r="B112" s="17" t="s">
        <v>65</v>
      </c>
      <c r="C112" s="17" t="s">
        <v>53</v>
      </c>
      <c r="D112" s="17">
        <v>0.9</v>
      </c>
      <c r="E112" s="17">
        <v>25</v>
      </c>
      <c r="F112" s="18">
        <v>7669.16</v>
      </c>
      <c r="G112" s="18">
        <v>7756.24</v>
      </c>
      <c r="H112" s="18">
        <v>7618.81</v>
      </c>
      <c r="I112" s="18">
        <v>75.722800000000007</v>
      </c>
      <c r="J112" s="19">
        <v>10.039</v>
      </c>
      <c r="K112" s="20">
        <v>0.28749999999999998</v>
      </c>
    </row>
    <row r="113" spans="1:11" x14ac:dyDescent="0.25">
      <c r="A113" s="21" t="s">
        <v>52</v>
      </c>
      <c r="B113" s="21" t="s">
        <v>65</v>
      </c>
      <c r="C113" s="21" t="s">
        <v>54</v>
      </c>
      <c r="D113" s="21">
        <v>0.9</v>
      </c>
      <c r="E113" s="21">
        <v>25</v>
      </c>
      <c r="F113" s="22">
        <v>7665.57</v>
      </c>
      <c r="G113" s="22">
        <v>7703.6</v>
      </c>
      <c r="H113" s="22">
        <v>7630.66</v>
      </c>
      <c r="I113" s="22">
        <v>36.57</v>
      </c>
      <c r="J113" s="23">
        <v>10.047000000000001</v>
      </c>
      <c r="K113" s="24">
        <v>0.28749999999999998</v>
      </c>
    </row>
    <row r="114" spans="1:11" x14ac:dyDescent="0.25">
      <c r="A114" s="17" t="s">
        <v>52</v>
      </c>
      <c r="B114" s="17" t="s">
        <v>65</v>
      </c>
      <c r="C114" s="17" t="s">
        <v>55</v>
      </c>
      <c r="D114" s="17">
        <v>0.9</v>
      </c>
      <c r="E114" s="17">
        <v>25</v>
      </c>
      <c r="F114" s="18">
        <v>7674.18</v>
      </c>
      <c r="G114" s="18">
        <v>7706.18</v>
      </c>
      <c r="H114" s="18">
        <v>7632.38</v>
      </c>
      <c r="I114" s="18">
        <v>37.864699999999999</v>
      </c>
      <c r="J114" s="19">
        <v>10.022</v>
      </c>
      <c r="K114" s="20">
        <v>0.28749999999999998</v>
      </c>
    </row>
    <row r="115" spans="1:11" x14ac:dyDescent="0.25">
      <c r="A115" s="21" t="s">
        <v>52</v>
      </c>
      <c r="B115" s="21" t="s">
        <v>65</v>
      </c>
      <c r="C115" s="21" t="s">
        <v>56</v>
      </c>
      <c r="D115" s="21">
        <v>0.9</v>
      </c>
      <c r="E115" s="21">
        <v>25</v>
      </c>
      <c r="F115" s="22">
        <v>7685.19</v>
      </c>
      <c r="G115" s="22">
        <v>7702.47</v>
      </c>
      <c r="H115" s="22">
        <v>7656.38</v>
      </c>
      <c r="I115" s="22">
        <v>25.117599999999999</v>
      </c>
      <c r="J115" s="23">
        <v>10.039999999999999</v>
      </c>
      <c r="K115" s="24">
        <v>0.28749999999999998</v>
      </c>
    </row>
    <row r="116" spans="1:11" x14ac:dyDescent="0.25">
      <c r="A116" s="17" t="s">
        <v>52</v>
      </c>
      <c r="B116" s="17" t="s">
        <v>65</v>
      </c>
      <c r="C116" s="17" t="s">
        <v>57</v>
      </c>
      <c r="D116" s="17">
        <v>0.9</v>
      </c>
      <c r="E116" s="17">
        <v>25</v>
      </c>
      <c r="F116" s="18">
        <v>7756.92</v>
      </c>
      <c r="G116" s="18">
        <v>7780.22</v>
      </c>
      <c r="H116" s="18">
        <v>7725.98</v>
      </c>
      <c r="I116" s="18">
        <v>27.914100000000001</v>
      </c>
      <c r="J116" s="19">
        <v>10.032999999999999</v>
      </c>
      <c r="K116" s="20">
        <v>0.28749999999999998</v>
      </c>
    </row>
    <row r="117" spans="1:11" x14ac:dyDescent="0.25">
      <c r="A117" s="21" t="s">
        <v>52</v>
      </c>
      <c r="B117" s="21" t="s">
        <v>65</v>
      </c>
      <c r="C117" s="21" t="s">
        <v>53</v>
      </c>
      <c r="D117" s="21">
        <v>0.9</v>
      </c>
      <c r="E117" s="21">
        <v>30</v>
      </c>
      <c r="F117" s="22">
        <v>7669.16</v>
      </c>
      <c r="G117" s="22">
        <v>7756.24</v>
      </c>
      <c r="H117" s="22">
        <v>7618.81</v>
      </c>
      <c r="I117" s="22">
        <v>75.722800000000007</v>
      </c>
      <c r="J117" s="23">
        <v>10.038</v>
      </c>
      <c r="K117" s="24">
        <v>0.28029999999999999</v>
      </c>
    </row>
    <row r="118" spans="1:11" x14ac:dyDescent="0.25">
      <c r="A118" s="17" t="s">
        <v>52</v>
      </c>
      <c r="B118" s="17" t="s">
        <v>65</v>
      </c>
      <c r="C118" s="17" t="s">
        <v>54</v>
      </c>
      <c r="D118" s="17">
        <v>0.9</v>
      </c>
      <c r="E118" s="17">
        <v>30</v>
      </c>
      <c r="F118" s="18">
        <v>7668.18</v>
      </c>
      <c r="G118" s="18">
        <v>7711.42</v>
      </c>
      <c r="H118" s="18">
        <v>7630.66</v>
      </c>
      <c r="I118" s="18">
        <v>40.683399999999999</v>
      </c>
      <c r="J118" s="19">
        <v>10.032</v>
      </c>
      <c r="K118" s="20">
        <v>0.28029999999999999</v>
      </c>
    </row>
    <row r="119" spans="1:11" x14ac:dyDescent="0.25">
      <c r="A119" s="21" t="s">
        <v>52</v>
      </c>
      <c r="B119" s="21" t="s">
        <v>65</v>
      </c>
      <c r="C119" s="21" t="s">
        <v>55</v>
      </c>
      <c r="D119" s="21">
        <v>0.9</v>
      </c>
      <c r="E119" s="21">
        <v>30</v>
      </c>
      <c r="F119" s="22">
        <v>7675.88</v>
      </c>
      <c r="G119" s="22">
        <v>7707.9</v>
      </c>
      <c r="H119" s="22">
        <v>7642.37</v>
      </c>
      <c r="I119" s="22">
        <v>32.790199999999999</v>
      </c>
      <c r="J119" s="23">
        <v>10.029</v>
      </c>
      <c r="K119" s="24">
        <v>0.28029999999999999</v>
      </c>
    </row>
    <row r="120" spans="1:11" x14ac:dyDescent="0.25">
      <c r="A120" s="17" t="s">
        <v>52</v>
      </c>
      <c r="B120" s="17" t="s">
        <v>65</v>
      </c>
      <c r="C120" s="17" t="s">
        <v>56</v>
      </c>
      <c r="D120" s="17">
        <v>0.9</v>
      </c>
      <c r="E120" s="17">
        <v>30</v>
      </c>
      <c r="F120" s="18">
        <v>7683.25</v>
      </c>
      <c r="G120" s="18">
        <v>7702.9</v>
      </c>
      <c r="H120" s="18">
        <v>7650.13</v>
      </c>
      <c r="I120" s="18">
        <v>28.851099999999999</v>
      </c>
      <c r="J120" s="19">
        <v>10.016999999999999</v>
      </c>
      <c r="K120" s="20">
        <v>0.28029999999999999</v>
      </c>
    </row>
    <row r="121" spans="1:11" x14ac:dyDescent="0.25">
      <c r="A121" s="21" t="s">
        <v>52</v>
      </c>
      <c r="B121" s="21" t="s">
        <v>65</v>
      </c>
      <c r="C121" s="21" t="s">
        <v>57</v>
      </c>
      <c r="D121" s="21">
        <v>0.9</v>
      </c>
      <c r="E121" s="21">
        <v>30</v>
      </c>
      <c r="F121" s="22">
        <v>7757.31</v>
      </c>
      <c r="G121" s="22">
        <v>7780.22</v>
      </c>
      <c r="H121" s="22">
        <v>7725.98</v>
      </c>
      <c r="I121" s="22">
        <v>28.081700000000001</v>
      </c>
      <c r="J121" s="23">
        <v>10.039999999999999</v>
      </c>
      <c r="K121" s="24">
        <v>0.28029999999999999</v>
      </c>
    </row>
    <row r="123" spans="1:11" ht="15" customHeight="1" x14ac:dyDescent="0.25"/>
    <row r="124" spans="1:11" ht="15" customHeight="1" x14ac:dyDescent="0.25"/>
    <row r="125" spans="1:11" ht="15" customHeight="1" x14ac:dyDescent="0.25"/>
    <row r="126" spans="1:11" ht="15" customHeight="1" x14ac:dyDescent="0.25"/>
    <row r="127" spans="1:11" ht="15" customHeight="1" x14ac:dyDescent="0.25"/>
    <row r="128" spans="1:11" ht="15" customHeight="1" x14ac:dyDescent="0.25"/>
    <row r="129" ht="15" customHeight="1" x14ac:dyDescent="0.25"/>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1"/>
  <sheetViews>
    <sheetView showGridLines="0" zoomScaleNormal="100" workbookViewId="0">
      <pane xSplit="3" ySplit="1" topLeftCell="D2" activePane="bottomRight" state="frozen"/>
      <selection pane="topRight" activeCell="D1" sqref="D1"/>
      <selection pane="bottomLeft" activeCell="A2" sqref="A2"/>
      <selection pane="bottomRight"/>
    </sheetView>
  </sheetViews>
  <sheetFormatPr baseColWidth="10" defaultColWidth="8.7109375" defaultRowHeight="15" x14ac:dyDescent="0.25"/>
  <cols>
    <col min="1" max="1" width="7" customWidth="1"/>
    <col min="2" max="2" width="14" customWidth="1"/>
    <col min="3" max="3" width="23" customWidth="1"/>
    <col min="4" max="4" width="11" customWidth="1"/>
    <col min="5" max="5" width="17" customWidth="1"/>
    <col min="6" max="6" width="5" customWidth="1"/>
    <col min="7" max="8" width="9" customWidth="1"/>
    <col min="9" max="9" width="12" customWidth="1"/>
  </cols>
  <sheetData>
    <row r="1" spans="1:9" ht="30" customHeight="1" x14ac:dyDescent="0.25">
      <c r="A1" s="16" t="s">
        <v>36</v>
      </c>
      <c r="B1" s="16" t="s">
        <v>62</v>
      </c>
      <c r="C1" s="16" t="s">
        <v>37</v>
      </c>
      <c r="D1" s="16" t="s">
        <v>38</v>
      </c>
      <c r="E1" s="16" t="s">
        <v>63</v>
      </c>
      <c r="F1" s="16" t="s">
        <v>58</v>
      </c>
      <c r="G1" s="16" t="s">
        <v>59</v>
      </c>
      <c r="H1" s="16" t="s">
        <v>60</v>
      </c>
      <c r="I1" s="16" t="s">
        <v>61</v>
      </c>
    </row>
    <row r="2" spans="1:9" ht="25.5" x14ac:dyDescent="0.25">
      <c r="A2" s="17" t="s">
        <v>45</v>
      </c>
      <c r="B2" s="17" t="s">
        <v>64</v>
      </c>
      <c r="C2" s="17" t="s">
        <v>46</v>
      </c>
      <c r="D2" s="17">
        <v>0.1</v>
      </c>
      <c r="E2" s="17">
        <v>15</v>
      </c>
      <c r="F2" s="17">
        <v>0</v>
      </c>
      <c r="G2" s="17">
        <v>42</v>
      </c>
      <c r="H2" s="18">
        <v>360.15</v>
      </c>
      <c r="I2" s="19">
        <v>10</v>
      </c>
    </row>
    <row r="3" spans="1:9" ht="25.5" x14ac:dyDescent="0.25">
      <c r="A3" s="21" t="s">
        <v>45</v>
      </c>
      <c r="B3" s="21" t="s">
        <v>64</v>
      </c>
      <c r="C3" s="21" t="s">
        <v>46</v>
      </c>
      <c r="D3" s="21">
        <v>0.1</v>
      </c>
      <c r="E3" s="21">
        <v>15</v>
      </c>
      <c r="F3" s="21">
        <v>1</v>
      </c>
      <c r="G3" s="21">
        <v>43</v>
      </c>
      <c r="H3" s="22">
        <v>360.15</v>
      </c>
      <c r="I3" s="23">
        <v>10</v>
      </c>
    </row>
    <row r="4" spans="1:9" ht="25.5" x14ac:dyDescent="0.25">
      <c r="A4" s="17" t="s">
        <v>45</v>
      </c>
      <c r="B4" s="17" t="s">
        <v>64</v>
      </c>
      <c r="C4" s="17" t="s">
        <v>46</v>
      </c>
      <c r="D4" s="17">
        <v>0.1</v>
      </c>
      <c r="E4" s="17">
        <v>15</v>
      </c>
      <c r="F4" s="17">
        <v>2</v>
      </c>
      <c r="G4" s="17">
        <v>44</v>
      </c>
      <c r="H4" s="18">
        <v>360.15</v>
      </c>
      <c r="I4" s="19">
        <v>10.000999999999999</v>
      </c>
    </row>
    <row r="5" spans="1:9" ht="25.5" x14ac:dyDescent="0.25">
      <c r="A5" s="21" t="s">
        <v>45</v>
      </c>
      <c r="B5" s="21" t="s">
        <v>64</v>
      </c>
      <c r="C5" s="21" t="s">
        <v>47</v>
      </c>
      <c r="D5" s="21">
        <v>0.1</v>
      </c>
      <c r="E5" s="21">
        <v>15</v>
      </c>
      <c r="F5" s="21">
        <v>0</v>
      </c>
      <c r="G5" s="21">
        <v>42</v>
      </c>
      <c r="H5" s="22">
        <v>355.72</v>
      </c>
      <c r="I5" s="23">
        <v>10</v>
      </c>
    </row>
    <row r="6" spans="1:9" ht="25.5" x14ac:dyDescent="0.25">
      <c r="A6" s="17" t="s">
        <v>45</v>
      </c>
      <c r="B6" s="17" t="s">
        <v>64</v>
      </c>
      <c r="C6" s="17" t="s">
        <v>47</v>
      </c>
      <c r="D6" s="17">
        <v>0.1</v>
      </c>
      <c r="E6" s="17">
        <v>15</v>
      </c>
      <c r="F6" s="17">
        <v>1</v>
      </c>
      <c r="G6" s="17">
        <v>43</v>
      </c>
      <c r="H6" s="18">
        <v>355.72</v>
      </c>
      <c r="I6" s="19">
        <v>10</v>
      </c>
    </row>
    <row r="7" spans="1:9" ht="25.5" x14ac:dyDescent="0.25">
      <c r="A7" s="21" t="s">
        <v>45</v>
      </c>
      <c r="B7" s="21" t="s">
        <v>64</v>
      </c>
      <c r="C7" s="21" t="s">
        <v>47</v>
      </c>
      <c r="D7" s="21">
        <v>0.1</v>
      </c>
      <c r="E7" s="21">
        <v>15</v>
      </c>
      <c r="F7" s="21">
        <v>2</v>
      </c>
      <c r="G7" s="21">
        <v>44</v>
      </c>
      <c r="H7" s="22">
        <v>355.72</v>
      </c>
      <c r="I7" s="23">
        <v>10.000999999999999</v>
      </c>
    </row>
    <row r="8" spans="1:9" ht="25.5" x14ac:dyDescent="0.25">
      <c r="A8" s="17" t="s">
        <v>45</v>
      </c>
      <c r="B8" s="17" t="s">
        <v>64</v>
      </c>
      <c r="C8" s="17" t="s">
        <v>48</v>
      </c>
      <c r="D8" s="17">
        <v>0.1</v>
      </c>
      <c r="E8" s="17">
        <v>15</v>
      </c>
      <c r="F8" s="17">
        <v>0</v>
      </c>
      <c r="G8" s="17">
        <v>42</v>
      </c>
      <c r="H8" s="18">
        <v>355.5</v>
      </c>
      <c r="I8" s="19">
        <v>10.000999999999999</v>
      </c>
    </row>
    <row r="9" spans="1:9" ht="25.5" x14ac:dyDescent="0.25">
      <c r="A9" s="21" t="s">
        <v>45</v>
      </c>
      <c r="B9" s="21" t="s">
        <v>64</v>
      </c>
      <c r="C9" s="21" t="s">
        <v>48</v>
      </c>
      <c r="D9" s="21">
        <v>0.1</v>
      </c>
      <c r="E9" s="21">
        <v>15</v>
      </c>
      <c r="F9" s="21">
        <v>1</v>
      </c>
      <c r="G9" s="21">
        <v>43</v>
      </c>
      <c r="H9" s="22">
        <v>355.5</v>
      </c>
      <c r="I9" s="23">
        <v>10</v>
      </c>
    </row>
    <row r="10" spans="1:9" ht="25.5" x14ac:dyDescent="0.25">
      <c r="A10" s="17" t="s">
        <v>45</v>
      </c>
      <c r="B10" s="17" t="s">
        <v>64</v>
      </c>
      <c r="C10" s="17" t="s">
        <v>48</v>
      </c>
      <c r="D10" s="17">
        <v>0.1</v>
      </c>
      <c r="E10" s="17">
        <v>15</v>
      </c>
      <c r="F10" s="17">
        <v>2</v>
      </c>
      <c r="G10" s="17">
        <v>44</v>
      </c>
      <c r="H10" s="18">
        <v>355.5</v>
      </c>
      <c r="I10" s="19">
        <v>10.000999999999999</v>
      </c>
    </row>
    <row r="11" spans="1:9" ht="25.5" x14ac:dyDescent="0.25">
      <c r="A11" s="21" t="s">
        <v>45</v>
      </c>
      <c r="B11" s="21" t="s">
        <v>64</v>
      </c>
      <c r="C11" s="21" t="s">
        <v>49</v>
      </c>
      <c r="D11" s="21">
        <v>0.1</v>
      </c>
      <c r="E11" s="21">
        <v>15</v>
      </c>
      <c r="F11" s="21">
        <v>0</v>
      </c>
      <c r="G11" s="21">
        <v>42</v>
      </c>
      <c r="H11" s="22">
        <v>354.25</v>
      </c>
      <c r="I11" s="23">
        <v>10.000999999999999</v>
      </c>
    </row>
    <row r="12" spans="1:9" ht="25.5" x14ac:dyDescent="0.25">
      <c r="A12" s="17" t="s">
        <v>45</v>
      </c>
      <c r="B12" s="17" t="s">
        <v>64</v>
      </c>
      <c r="C12" s="17" t="s">
        <v>49</v>
      </c>
      <c r="D12" s="17">
        <v>0.1</v>
      </c>
      <c r="E12" s="17">
        <v>15</v>
      </c>
      <c r="F12" s="17">
        <v>1</v>
      </c>
      <c r="G12" s="17">
        <v>43</v>
      </c>
      <c r="H12" s="18">
        <v>354.25</v>
      </c>
      <c r="I12" s="19">
        <v>10.000999999999999</v>
      </c>
    </row>
    <row r="13" spans="1:9" ht="25.5" x14ac:dyDescent="0.25">
      <c r="A13" s="21" t="s">
        <v>45</v>
      </c>
      <c r="B13" s="21" t="s">
        <v>64</v>
      </c>
      <c r="C13" s="21" t="s">
        <v>49</v>
      </c>
      <c r="D13" s="21">
        <v>0.1</v>
      </c>
      <c r="E13" s="21">
        <v>15</v>
      </c>
      <c r="F13" s="21">
        <v>2</v>
      </c>
      <c r="G13" s="21">
        <v>44</v>
      </c>
      <c r="H13" s="22">
        <v>354.25</v>
      </c>
      <c r="I13" s="23">
        <v>10</v>
      </c>
    </row>
    <row r="14" spans="1:9" ht="25.5" x14ac:dyDescent="0.25">
      <c r="A14" s="17" t="s">
        <v>45</v>
      </c>
      <c r="B14" s="17" t="s">
        <v>64</v>
      </c>
      <c r="C14" s="17" t="s">
        <v>50</v>
      </c>
      <c r="D14" s="17">
        <v>0.1</v>
      </c>
      <c r="E14" s="17">
        <v>15</v>
      </c>
      <c r="F14" s="17">
        <v>0</v>
      </c>
      <c r="G14" s="17">
        <v>42</v>
      </c>
      <c r="H14" s="18">
        <v>356.06</v>
      </c>
      <c r="I14" s="19">
        <v>10.000999999999999</v>
      </c>
    </row>
    <row r="15" spans="1:9" ht="25.5" x14ac:dyDescent="0.25">
      <c r="A15" s="21" t="s">
        <v>45</v>
      </c>
      <c r="B15" s="21" t="s">
        <v>64</v>
      </c>
      <c r="C15" s="21" t="s">
        <v>50</v>
      </c>
      <c r="D15" s="21">
        <v>0.1</v>
      </c>
      <c r="E15" s="21">
        <v>15</v>
      </c>
      <c r="F15" s="21">
        <v>1</v>
      </c>
      <c r="G15" s="21">
        <v>43</v>
      </c>
      <c r="H15" s="22">
        <v>356.06</v>
      </c>
      <c r="I15" s="23">
        <v>10.000999999999999</v>
      </c>
    </row>
    <row r="16" spans="1:9" ht="25.5" x14ac:dyDescent="0.25">
      <c r="A16" s="17" t="s">
        <v>45</v>
      </c>
      <c r="B16" s="17" t="s">
        <v>64</v>
      </c>
      <c r="C16" s="17" t="s">
        <v>50</v>
      </c>
      <c r="D16" s="17">
        <v>0.1</v>
      </c>
      <c r="E16" s="17">
        <v>15</v>
      </c>
      <c r="F16" s="17">
        <v>2</v>
      </c>
      <c r="G16" s="17">
        <v>44</v>
      </c>
      <c r="H16" s="18">
        <v>356.06</v>
      </c>
      <c r="I16" s="19">
        <v>10</v>
      </c>
    </row>
    <row r="17" spans="1:9" ht="25.5" x14ac:dyDescent="0.25">
      <c r="A17" s="21" t="s">
        <v>45</v>
      </c>
      <c r="B17" s="21" t="s">
        <v>64</v>
      </c>
      <c r="C17" s="21" t="s">
        <v>46</v>
      </c>
      <c r="D17" s="21">
        <v>0.25</v>
      </c>
      <c r="E17" s="21">
        <v>15</v>
      </c>
      <c r="F17" s="21">
        <v>0</v>
      </c>
      <c r="G17" s="21">
        <v>42</v>
      </c>
      <c r="H17" s="22">
        <v>360.15</v>
      </c>
      <c r="I17" s="23">
        <v>10.000999999999999</v>
      </c>
    </row>
    <row r="18" spans="1:9" ht="25.5" x14ac:dyDescent="0.25">
      <c r="A18" s="17" t="s">
        <v>45</v>
      </c>
      <c r="B18" s="17" t="s">
        <v>64</v>
      </c>
      <c r="C18" s="17" t="s">
        <v>46</v>
      </c>
      <c r="D18" s="17">
        <v>0.25</v>
      </c>
      <c r="E18" s="17">
        <v>15</v>
      </c>
      <c r="F18" s="17">
        <v>1</v>
      </c>
      <c r="G18" s="17">
        <v>43</v>
      </c>
      <c r="H18" s="18">
        <v>360.15</v>
      </c>
      <c r="I18" s="19">
        <v>10</v>
      </c>
    </row>
    <row r="19" spans="1:9" ht="25.5" x14ac:dyDescent="0.25">
      <c r="A19" s="21" t="s">
        <v>45</v>
      </c>
      <c r="B19" s="21" t="s">
        <v>64</v>
      </c>
      <c r="C19" s="21" t="s">
        <v>46</v>
      </c>
      <c r="D19" s="21">
        <v>0.25</v>
      </c>
      <c r="E19" s="21">
        <v>15</v>
      </c>
      <c r="F19" s="21">
        <v>2</v>
      </c>
      <c r="G19" s="21">
        <v>44</v>
      </c>
      <c r="H19" s="22">
        <v>360.15</v>
      </c>
      <c r="I19" s="23">
        <v>10</v>
      </c>
    </row>
    <row r="20" spans="1:9" ht="25.5" x14ac:dyDescent="0.25">
      <c r="A20" s="17" t="s">
        <v>45</v>
      </c>
      <c r="B20" s="17" t="s">
        <v>64</v>
      </c>
      <c r="C20" s="17" t="s">
        <v>47</v>
      </c>
      <c r="D20" s="17">
        <v>0.25</v>
      </c>
      <c r="E20" s="17">
        <v>15</v>
      </c>
      <c r="F20" s="17">
        <v>0</v>
      </c>
      <c r="G20" s="17">
        <v>42</v>
      </c>
      <c r="H20" s="18">
        <v>355.72</v>
      </c>
      <c r="I20" s="19">
        <v>10.000999999999999</v>
      </c>
    </row>
    <row r="21" spans="1:9" ht="25.5" x14ac:dyDescent="0.25">
      <c r="A21" s="21" t="s">
        <v>45</v>
      </c>
      <c r="B21" s="21" t="s">
        <v>64</v>
      </c>
      <c r="C21" s="21" t="s">
        <v>47</v>
      </c>
      <c r="D21" s="21">
        <v>0.25</v>
      </c>
      <c r="E21" s="21">
        <v>15</v>
      </c>
      <c r="F21" s="21">
        <v>1</v>
      </c>
      <c r="G21" s="21">
        <v>43</v>
      </c>
      <c r="H21" s="22">
        <v>355.72</v>
      </c>
      <c r="I21" s="23">
        <v>10</v>
      </c>
    </row>
    <row r="22" spans="1:9" ht="25.5" x14ac:dyDescent="0.25">
      <c r="A22" s="17" t="s">
        <v>45</v>
      </c>
      <c r="B22" s="17" t="s">
        <v>64</v>
      </c>
      <c r="C22" s="17" t="s">
        <v>47</v>
      </c>
      <c r="D22" s="17">
        <v>0.25</v>
      </c>
      <c r="E22" s="17">
        <v>15</v>
      </c>
      <c r="F22" s="17">
        <v>2</v>
      </c>
      <c r="G22" s="17">
        <v>44</v>
      </c>
      <c r="H22" s="18">
        <v>355.72</v>
      </c>
      <c r="I22" s="19">
        <v>10.000999999999999</v>
      </c>
    </row>
    <row r="23" spans="1:9" ht="25.5" x14ac:dyDescent="0.25">
      <c r="A23" s="21" t="s">
        <v>45</v>
      </c>
      <c r="B23" s="21" t="s">
        <v>64</v>
      </c>
      <c r="C23" s="21" t="s">
        <v>48</v>
      </c>
      <c r="D23" s="21">
        <v>0.25</v>
      </c>
      <c r="E23" s="21">
        <v>15</v>
      </c>
      <c r="F23" s="21">
        <v>0</v>
      </c>
      <c r="G23" s="21">
        <v>42</v>
      </c>
      <c r="H23" s="22">
        <v>355.5</v>
      </c>
      <c r="I23" s="23">
        <v>10</v>
      </c>
    </row>
    <row r="24" spans="1:9" ht="25.5" x14ac:dyDescent="0.25">
      <c r="A24" s="17" t="s">
        <v>45</v>
      </c>
      <c r="B24" s="17" t="s">
        <v>64</v>
      </c>
      <c r="C24" s="17" t="s">
        <v>48</v>
      </c>
      <c r="D24" s="17">
        <v>0.25</v>
      </c>
      <c r="E24" s="17">
        <v>15</v>
      </c>
      <c r="F24" s="17">
        <v>1</v>
      </c>
      <c r="G24" s="17">
        <v>43</v>
      </c>
      <c r="H24" s="18">
        <v>355.5</v>
      </c>
      <c r="I24" s="19">
        <v>10.000999999999999</v>
      </c>
    </row>
    <row r="25" spans="1:9" ht="25.5" x14ac:dyDescent="0.25">
      <c r="A25" s="21" t="s">
        <v>45</v>
      </c>
      <c r="B25" s="21" t="s">
        <v>64</v>
      </c>
      <c r="C25" s="21" t="s">
        <v>48</v>
      </c>
      <c r="D25" s="21">
        <v>0.25</v>
      </c>
      <c r="E25" s="21">
        <v>15</v>
      </c>
      <c r="F25" s="21">
        <v>2</v>
      </c>
      <c r="G25" s="21">
        <v>44</v>
      </c>
      <c r="H25" s="22">
        <v>355.5</v>
      </c>
      <c r="I25" s="23">
        <v>10</v>
      </c>
    </row>
    <row r="26" spans="1:9" ht="25.5" x14ac:dyDescent="0.25">
      <c r="A26" s="17" t="s">
        <v>45</v>
      </c>
      <c r="B26" s="17" t="s">
        <v>64</v>
      </c>
      <c r="C26" s="17" t="s">
        <v>49</v>
      </c>
      <c r="D26" s="17">
        <v>0.25</v>
      </c>
      <c r="E26" s="17">
        <v>15</v>
      </c>
      <c r="F26" s="17">
        <v>0</v>
      </c>
      <c r="G26" s="17">
        <v>42</v>
      </c>
      <c r="H26" s="18">
        <v>354.25</v>
      </c>
      <c r="I26" s="19">
        <v>10</v>
      </c>
    </row>
    <row r="27" spans="1:9" ht="25.5" x14ac:dyDescent="0.25">
      <c r="A27" s="21" t="s">
        <v>45</v>
      </c>
      <c r="B27" s="21" t="s">
        <v>64</v>
      </c>
      <c r="C27" s="21" t="s">
        <v>49</v>
      </c>
      <c r="D27" s="21">
        <v>0.25</v>
      </c>
      <c r="E27" s="21">
        <v>15</v>
      </c>
      <c r="F27" s="21">
        <v>1</v>
      </c>
      <c r="G27" s="21">
        <v>43</v>
      </c>
      <c r="H27" s="22">
        <v>354.25</v>
      </c>
      <c r="I27" s="23">
        <v>10</v>
      </c>
    </row>
    <row r="28" spans="1:9" ht="25.5" x14ac:dyDescent="0.25">
      <c r="A28" s="17" t="s">
        <v>45</v>
      </c>
      <c r="B28" s="17" t="s">
        <v>64</v>
      </c>
      <c r="C28" s="17" t="s">
        <v>49</v>
      </c>
      <c r="D28" s="17">
        <v>0.25</v>
      </c>
      <c r="E28" s="17">
        <v>15</v>
      </c>
      <c r="F28" s="17">
        <v>2</v>
      </c>
      <c r="G28" s="17">
        <v>44</v>
      </c>
      <c r="H28" s="18">
        <v>354.25</v>
      </c>
      <c r="I28" s="19">
        <v>10</v>
      </c>
    </row>
    <row r="29" spans="1:9" ht="25.5" x14ac:dyDescent="0.25">
      <c r="A29" s="21" t="s">
        <v>45</v>
      </c>
      <c r="B29" s="21" t="s">
        <v>64</v>
      </c>
      <c r="C29" s="21" t="s">
        <v>50</v>
      </c>
      <c r="D29" s="21">
        <v>0.25</v>
      </c>
      <c r="E29" s="21">
        <v>15</v>
      </c>
      <c r="F29" s="21">
        <v>0</v>
      </c>
      <c r="G29" s="21">
        <v>42</v>
      </c>
      <c r="H29" s="22">
        <v>356.06</v>
      </c>
      <c r="I29" s="23">
        <v>10.000999999999999</v>
      </c>
    </row>
    <row r="30" spans="1:9" ht="25.5" x14ac:dyDescent="0.25">
      <c r="A30" s="17" t="s">
        <v>45</v>
      </c>
      <c r="B30" s="17" t="s">
        <v>64</v>
      </c>
      <c r="C30" s="17" t="s">
        <v>50</v>
      </c>
      <c r="D30" s="17">
        <v>0.25</v>
      </c>
      <c r="E30" s="17">
        <v>15</v>
      </c>
      <c r="F30" s="17">
        <v>1</v>
      </c>
      <c r="G30" s="17">
        <v>43</v>
      </c>
      <c r="H30" s="18">
        <v>356.06</v>
      </c>
      <c r="I30" s="19">
        <v>10</v>
      </c>
    </row>
    <row r="31" spans="1:9" ht="25.5" x14ac:dyDescent="0.25">
      <c r="A31" s="21" t="s">
        <v>45</v>
      </c>
      <c r="B31" s="21" t="s">
        <v>64</v>
      </c>
      <c r="C31" s="21" t="s">
        <v>50</v>
      </c>
      <c r="D31" s="21">
        <v>0.25</v>
      </c>
      <c r="E31" s="21">
        <v>15</v>
      </c>
      <c r="F31" s="21">
        <v>2</v>
      </c>
      <c r="G31" s="21">
        <v>44</v>
      </c>
      <c r="H31" s="22">
        <v>356.06</v>
      </c>
      <c r="I31" s="23">
        <v>10.000999999999999</v>
      </c>
    </row>
    <row r="32" spans="1:9" ht="25.5" x14ac:dyDescent="0.25">
      <c r="A32" s="17" t="s">
        <v>45</v>
      </c>
      <c r="B32" s="17" t="s">
        <v>64</v>
      </c>
      <c r="C32" s="17" t="s">
        <v>46</v>
      </c>
      <c r="D32" s="17">
        <v>0.5</v>
      </c>
      <c r="E32" s="17">
        <v>15</v>
      </c>
      <c r="F32" s="17">
        <v>0</v>
      </c>
      <c r="G32" s="17">
        <v>42</v>
      </c>
      <c r="H32" s="18">
        <v>360.15</v>
      </c>
      <c r="I32" s="19">
        <v>10</v>
      </c>
    </row>
    <row r="33" spans="1:9" ht="25.5" x14ac:dyDescent="0.25">
      <c r="A33" s="21" t="s">
        <v>45</v>
      </c>
      <c r="B33" s="21" t="s">
        <v>64</v>
      </c>
      <c r="C33" s="21" t="s">
        <v>46</v>
      </c>
      <c r="D33" s="21">
        <v>0.5</v>
      </c>
      <c r="E33" s="21">
        <v>15</v>
      </c>
      <c r="F33" s="21">
        <v>1</v>
      </c>
      <c r="G33" s="21">
        <v>43</v>
      </c>
      <c r="H33" s="22">
        <v>360.15</v>
      </c>
      <c r="I33" s="23">
        <v>10.000999999999999</v>
      </c>
    </row>
    <row r="34" spans="1:9" ht="25.5" x14ac:dyDescent="0.25">
      <c r="A34" s="17" t="s">
        <v>45</v>
      </c>
      <c r="B34" s="17" t="s">
        <v>64</v>
      </c>
      <c r="C34" s="17" t="s">
        <v>46</v>
      </c>
      <c r="D34" s="17">
        <v>0.5</v>
      </c>
      <c r="E34" s="17">
        <v>15</v>
      </c>
      <c r="F34" s="17">
        <v>2</v>
      </c>
      <c r="G34" s="17">
        <v>44</v>
      </c>
      <c r="H34" s="18">
        <v>360.15</v>
      </c>
      <c r="I34" s="19">
        <v>10</v>
      </c>
    </row>
    <row r="35" spans="1:9" ht="25.5" x14ac:dyDescent="0.25">
      <c r="A35" s="21" t="s">
        <v>45</v>
      </c>
      <c r="B35" s="21" t="s">
        <v>64</v>
      </c>
      <c r="C35" s="21" t="s">
        <v>47</v>
      </c>
      <c r="D35" s="21">
        <v>0.5</v>
      </c>
      <c r="E35" s="21">
        <v>15</v>
      </c>
      <c r="F35" s="21">
        <v>0</v>
      </c>
      <c r="G35" s="21">
        <v>42</v>
      </c>
      <c r="H35" s="22">
        <v>355.72</v>
      </c>
      <c r="I35" s="23">
        <v>10.000999999999999</v>
      </c>
    </row>
    <row r="36" spans="1:9" ht="25.5" x14ac:dyDescent="0.25">
      <c r="A36" s="17" t="s">
        <v>45</v>
      </c>
      <c r="B36" s="17" t="s">
        <v>64</v>
      </c>
      <c r="C36" s="17" t="s">
        <v>47</v>
      </c>
      <c r="D36" s="17">
        <v>0.5</v>
      </c>
      <c r="E36" s="17">
        <v>15</v>
      </c>
      <c r="F36" s="17">
        <v>1</v>
      </c>
      <c r="G36" s="17">
        <v>43</v>
      </c>
      <c r="H36" s="18">
        <v>355.72</v>
      </c>
      <c r="I36" s="19">
        <v>10</v>
      </c>
    </row>
    <row r="37" spans="1:9" ht="25.5" x14ac:dyDescent="0.25">
      <c r="A37" s="21" t="s">
        <v>45</v>
      </c>
      <c r="B37" s="21" t="s">
        <v>64</v>
      </c>
      <c r="C37" s="21" t="s">
        <v>47</v>
      </c>
      <c r="D37" s="21">
        <v>0.5</v>
      </c>
      <c r="E37" s="21">
        <v>15</v>
      </c>
      <c r="F37" s="21">
        <v>2</v>
      </c>
      <c r="G37" s="21">
        <v>44</v>
      </c>
      <c r="H37" s="22">
        <v>355.72</v>
      </c>
      <c r="I37" s="23">
        <v>10.000999999999999</v>
      </c>
    </row>
    <row r="38" spans="1:9" ht="25.5" x14ac:dyDescent="0.25">
      <c r="A38" s="17" t="s">
        <v>45</v>
      </c>
      <c r="B38" s="17" t="s">
        <v>64</v>
      </c>
      <c r="C38" s="17" t="s">
        <v>48</v>
      </c>
      <c r="D38" s="17">
        <v>0.5</v>
      </c>
      <c r="E38" s="17">
        <v>15</v>
      </c>
      <c r="F38" s="17">
        <v>0</v>
      </c>
      <c r="G38" s="17">
        <v>42</v>
      </c>
      <c r="H38" s="18">
        <v>355.5</v>
      </c>
      <c r="I38" s="19">
        <v>10</v>
      </c>
    </row>
    <row r="39" spans="1:9" ht="25.5" x14ac:dyDescent="0.25">
      <c r="A39" s="21" t="s">
        <v>45</v>
      </c>
      <c r="B39" s="21" t="s">
        <v>64</v>
      </c>
      <c r="C39" s="21" t="s">
        <v>48</v>
      </c>
      <c r="D39" s="21">
        <v>0.5</v>
      </c>
      <c r="E39" s="21">
        <v>15</v>
      </c>
      <c r="F39" s="21">
        <v>1</v>
      </c>
      <c r="G39" s="21">
        <v>43</v>
      </c>
      <c r="H39" s="22">
        <v>355.5</v>
      </c>
      <c r="I39" s="23">
        <v>10.000999999999999</v>
      </c>
    </row>
    <row r="40" spans="1:9" ht="25.5" x14ac:dyDescent="0.25">
      <c r="A40" s="17" t="s">
        <v>45</v>
      </c>
      <c r="B40" s="17" t="s">
        <v>64</v>
      </c>
      <c r="C40" s="17" t="s">
        <v>48</v>
      </c>
      <c r="D40" s="17">
        <v>0.5</v>
      </c>
      <c r="E40" s="17">
        <v>15</v>
      </c>
      <c r="F40" s="17">
        <v>2</v>
      </c>
      <c r="G40" s="17">
        <v>44</v>
      </c>
      <c r="H40" s="18">
        <v>355.5</v>
      </c>
      <c r="I40" s="19">
        <v>10</v>
      </c>
    </row>
    <row r="41" spans="1:9" ht="25.5" x14ac:dyDescent="0.25">
      <c r="A41" s="21" t="s">
        <v>45</v>
      </c>
      <c r="B41" s="21" t="s">
        <v>64</v>
      </c>
      <c r="C41" s="21" t="s">
        <v>49</v>
      </c>
      <c r="D41" s="21">
        <v>0.5</v>
      </c>
      <c r="E41" s="21">
        <v>15</v>
      </c>
      <c r="F41" s="21">
        <v>0</v>
      </c>
      <c r="G41" s="21">
        <v>42</v>
      </c>
      <c r="H41" s="22">
        <v>354.25</v>
      </c>
      <c r="I41" s="23">
        <v>10</v>
      </c>
    </row>
    <row r="42" spans="1:9" ht="25.5" x14ac:dyDescent="0.25">
      <c r="A42" s="17" t="s">
        <v>45</v>
      </c>
      <c r="B42" s="17" t="s">
        <v>64</v>
      </c>
      <c r="C42" s="17" t="s">
        <v>49</v>
      </c>
      <c r="D42" s="17">
        <v>0.5</v>
      </c>
      <c r="E42" s="17">
        <v>15</v>
      </c>
      <c r="F42" s="17">
        <v>1</v>
      </c>
      <c r="G42" s="17">
        <v>43</v>
      </c>
      <c r="H42" s="18">
        <v>354.25</v>
      </c>
      <c r="I42" s="19">
        <v>10.000999999999999</v>
      </c>
    </row>
    <row r="43" spans="1:9" ht="25.5" x14ac:dyDescent="0.25">
      <c r="A43" s="21" t="s">
        <v>45</v>
      </c>
      <c r="B43" s="21" t="s">
        <v>64</v>
      </c>
      <c r="C43" s="21" t="s">
        <v>49</v>
      </c>
      <c r="D43" s="21">
        <v>0.5</v>
      </c>
      <c r="E43" s="21">
        <v>15</v>
      </c>
      <c r="F43" s="21">
        <v>2</v>
      </c>
      <c r="G43" s="21">
        <v>44</v>
      </c>
      <c r="H43" s="22">
        <v>354.25</v>
      </c>
      <c r="I43" s="23">
        <v>10.000999999999999</v>
      </c>
    </row>
    <row r="44" spans="1:9" ht="25.5" x14ac:dyDescent="0.25">
      <c r="A44" s="17" t="s">
        <v>45</v>
      </c>
      <c r="B44" s="17" t="s">
        <v>64</v>
      </c>
      <c r="C44" s="17" t="s">
        <v>50</v>
      </c>
      <c r="D44" s="17">
        <v>0.5</v>
      </c>
      <c r="E44" s="17">
        <v>15</v>
      </c>
      <c r="F44" s="17">
        <v>0</v>
      </c>
      <c r="G44" s="17">
        <v>42</v>
      </c>
      <c r="H44" s="18">
        <v>356.06</v>
      </c>
      <c r="I44" s="19">
        <v>10.000999999999999</v>
      </c>
    </row>
    <row r="45" spans="1:9" ht="25.5" x14ac:dyDescent="0.25">
      <c r="A45" s="21" t="s">
        <v>45</v>
      </c>
      <c r="B45" s="21" t="s">
        <v>64</v>
      </c>
      <c r="C45" s="21" t="s">
        <v>50</v>
      </c>
      <c r="D45" s="21">
        <v>0.5</v>
      </c>
      <c r="E45" s="21">
        <v>15</v>
      </c>
      <c r="F45" s="21">
        <v>1</v>
      </c>
      <c r="G45" s="21">
        <v>43</v>
      </c>
      <c r="H45" s="22">
        <v>356.06</v>
      </c>
      <c r="I45" s="23">
        <v>10</v>
      </c>
    </row>
    <row r="46" spans="1:9" ht="25.5" x14ac:dyDescent="0.25">
      <c r="A46" s="17" t="s">
        <v>45</v>
      </c>
      <c r="B46" s="17" t="s">
        <v>64</v>
      </c>
      <c r="C46" s="17" t="s">
        <v>50</v>
      </c>
      <c r="D46" s="17">
        <v>0.5</v>
      </c>
      <c r="E46" s="17">
        <v>15</v>
      </c>
      <c r="F46" s="17">
        <v>2</v>
      </c>
      <c r="G46" s="17">
        <v>44</v>
      </c>
      <c r="H46" s="18">
        <v>356.06</v>
      </c>
      <c r="I46" s="19">
        <v>10</v>
      </c>
    </row>
    <row r="47" spans="1:9" ht="25.5" x14ac:dyDescent="0.25">
      <c r="A47" s="21" t="s">
        <v>45</v>
      </c>
      <c r="B47" s="21" t="s">
        <v>64</v>
      </c>
      <c r="C47" s="21" t="s">
        <v>46</v>
      </c>
      <c r="D47" s="21">
        <v>0.75</v>
      </c>
      <c r="E47" s="21">
        <v>15</v>
      </c>
      <c r="F47" s="21">
        <v>0</v>
      </c>
      <c r="G47" s="21">
        <v>42</v>
      </c>
      <c r="H47" s="22">
        <v>360.15</v>
      </c>
      <c r="I47" s="23">
        <v>10</v>
      </c>
    </row>
    <row r="48" spans="1:9" ht="25.5" x14ac:dyDescent="0.25">
      <c r="A48" s="17" t="s">
        <v>45</v>
      </c>
      <c r="B48" s="17" t="s">
        <v>64</v>
      </c>
      <c r="C48" s="17" t="s">
        <v>46</v>
      </c>
      <c r="D48" s="17">
        <v>0.75</v>
      </c>
      <c r="E48" s="17">
        <v>15</v>
      </c>
      <c r="F48" s="17">
        <v>1</v>
      </c>
      <c r="G48" s="17">
        <v>43</v>
      </c>
      <c r="H48" s="18">
        <v>360.15</v>
      </c>
      <c r="I48" s="19">
        <v>10</v>
      </c>
    </row>
    <row r="49" spans="1:9" ht="25.5" x14ac:dyDescent="0.25">
      <c r="A49" s="21" t="s">
        <v>45</v>
      </c>
      <c r="B49" s="21" t="s">
        <v>64</v>
      </c>
      <c r="C49" s="21" t="s">
        <v>46</v>
      </c>
      <c r="D49" s="21">
        <v>0.75</v>
      </c>
      <c r="E49" s="21">
        <v>15</v>
      </c>
      <c r="F49" s="21">
        <v>2</v>
      </c>
      <c r="G49" s="21">
        <v>44</v>
      </c>
      <c r="H49" s="22">
        <v>360.15</v>
      </c>
      <c r="I49" s="23">
        <v>10</v>
      </c>
    </row>
    <row r="50" spans="1:9" ht="25.5" x14ac:dyDescent="0.25">
      <c r="A50" s="17" t="s">
        <v>45</v>
      </c>
      <c r="B50" s="17" t="s">
        <v>64</v>
      </c>
      <c r="C50" s="17" t="s">
        <v>47</v>
      </c>
      <c r="D50" s="17">
        <v>0.75</v>
      </c>
      <c r="E50" s="17">
        <v>15</v>
      </c>
      <c r="F50" s="17">
        <v>0</v>
      </c>
      <c r="G50" s="17">
        <v>42</v>
      </c>
      <c r="H50" s="18">
        <v>355.72</v>
      </c>
      <c r="I50" s="19">
        <v>10.000999999999999</v>
      </c>
    </row>
    <row r="51" spans="1:9" ht="25.5" x14ac:dyDescent="0.25">
      <c r="A51" s="21" t="s">
        <v>45</v>
      </c>
      <c r="B51" s="21" t="s">
        <v>64</v>
      </c>
      <c r="C51" s="21" t="s">
        <v>47</v>
      </c>
      <c r="D51" s="21">
        <v>0.75</v>
      </c>
      <c r="E51" s="21">
        <v>15</v>
      </c>
      <c r="F51" s="21">
        <v>1</v>
      </c>
      <c r="G51" s="21">
        <v>43</v>
      </c>
      <c r="H51" s="22">
        <v>355.72</v>
      </c>
      <c r="I51" s="23">
        <v>10</v>
      </c>
    </row>
    <row r="52" spans="1:9" ht="25.5" x14ac:dyDescent="0.25">
      <c r="A52" s="17" t="s">
        <v>45</v>
      </c>
      <c r="B52" s="17" t="s">
        <v>64</v>
      </c>
      <c r="C52" s="17" t="s">
        <v>47</v>
      </c>
      <c r="D52" s="17">
        <v>0.75</v>
      </c>
      <c r="E52" s="17">
        <v>15</v>
      </c>
      <c r="F52" s="17">
        <v>2</v>
      </c>
      <c r="G52" s="17">
        <v>44</v>
      </c>
      <c r="H52" s="18">
        <v>355.72</v>
      </c>
      <c r="I52" s="19">
        <v>10</v>
      </c>
    </row>
    <row r="53" spans="1:9" ht="25.5" x14ac:dyDescent="0.25">
      <c r="A53" s="21" t="s">
        <v>45</v>
      </c>
      <c r="B53" s="21" t="s">
        <v>64</v>
      </c>
      <c r="C53" s="21" t="s">
        <v>48</v>
      </c>
      <c r="D53" s="21">
        <v>0.75</v>
      </c>
      <c r="E53" s="21">
        <v>15</v>
      </c>
      <c r="F53" s="21">
        <v>0</v>
      </c>
      <c r="G53" s="21">
        <v>42</v>
      </c>
      <c r="H53" s="22">
        <v>355.5</v>
      </c>
      <c r="I53" s="23">
        <v>10</v>
      </c>
    </row>
    <row r="54" spans="1:9" ht="25.5" x14ac:dyDescent="0.25">
      <c r="A54" s="17" t="s">
        <v>45</v>
      </c>
      <c r="B54" s="17" t="s">
        <v>64</v>
      </c>
      <c r="C54" s="17" t="s">
        <v>48</v>
      </c>
      <c r="D54" s="17">
        <v>0.75</v>
      </c>
      <c r="E54" s="17">
        <v>15</v>
      </c>
      <c r="F54" s="17">
        <v>1</v>
      </c>
      <c r="G54" s="17">
        <v>43</v>
      </c>
      <c r="H54" s="18">
        <v>355.5</v>
      </c>
      <c r="I54" s="19">
        <v>10</v>
      </c>
    </row>
    <row r="55" spans="1:9" ht="25.5" x14ac:dyDescent="0.25">
      <c r="A55" s="21" t="s">
        <v>45</v>
      </c>
      <c r="B55" s="21" t="s">
        <v>64</v>
      </c>
      <c r="C55" s="21" t="s">
        <v>48</v>
      </c>
      <c r="D55" s="21">
        <v>0.75</v>
      </c>
      <c r="E55" s="21">
        <v>15</v>
      </c>
      <c r="F55" s="21">
        <v>2</v>
      </c>
      <c r="G55" s="21">
        <v>44</v>
      </c>
      <c r="H55" s="22">
        <v>355.5</v>
      </c>
      <c r="I55" s="23">
        <v>10</v>
      </c>
    </row>
    <row r="56" spans="1:9" ht="25.5" x14ac:dyDescent="0.25">
      <c r="A56" s="17" t="s">
        <v>45</v>
      </c>
      <c r="B56" s="17" t="s">
        <v>64</v>
      </c>
      <c r="C56" s="17" t="s">
        <v>49</v>
      </c>
      <c r="D56" s="17">
        <v>0.75</v>
      </c>
      <c r="E56" s="17">
        <v>15</v>
      </c>
      <c r="F56" s="17">
        <v>0</v>
      </c>
      <c r="G56" s="17">
        <v>42</v>
      </c>
      <c r="H56" s="18">
        <v>354.25</v>
      </c>
      <c r="I56" s="19">
        <v>10.000999999999999</v>
      </c>
    </row>
    <row r="57" spans="1:9" ht="25.5" x14ac:dyDescent="0.25">
      <c r="A57" s="21" t="s">
        <v>45</v>
      </c>
      <c r="B57" s="21" t="s">
        <v>64</v>
      </c>
      <c r="C57" s="21" t="s">
        <v>49</v>
      </c>
      <c r="D57" s="21">
        <v>0.75</v>
      </c>
      <c r="E57" s="21">
        <v>15</v>
      </c>
      <c r="F57" s="21">
        <v>1</v>
      </c>
      <c r="G57" s="21">
        <v>43</v>
      </c>
      <c r="H57" s="22">
        <v>354.25</v>
      </c>
      <c r="I57" s="23">
        <v>10.000999999999999</v>
      </c>
    </row>
    <row r="58" spans="1:9" ht="25.5" x14ac:dyDescent="0.25">
      <c r="A58" s="17" t="s">
        <v>45</v>
      </c>
      <c r="B58" s="17" t="s">
        <v>64</v>
      </c>
      <c r="C58" s="17" t="s">
        <v>49</v>
      </c>
      <c r="D58" s="17">
        <v>0.75</v>
      </c>
      <c r="E58" s="17">
        <v>15</v>
      </c>
      <c r="F58" s="17">
        <v>2</v>
      </c>
      <c r="G58" s="17">
        <v>44</v>
      </c>
      <c r="H58" s="18">
        <v>354.25</v>
      </c>
      <c r="I58" s="19">
        <v>10</v>
      </c>
    </row>
    <row r="59" spans="1:9" ht="25.5" x14ac:dyDescent="0.25">
      <c r="A59" s="21" t="s">
        <v>45</v>
      </c>
      <c r="B59" s="21" t="s">
        <v>64</v>
      </c>
      <c r="C59" s="21" t="s">
        <v>50</v>
      </c>
      <c r="D59" s="21">
        <v>0.75</v>
      </c>
      <c r="E59" s="21">
        <v>15</v>
      </c>
      <c r="F59" s="21">
        <v>0</v>
      </c>
      <c r="G59" s="21">
        <v>42</v>
      </c>
      <c r="H59" s="22">
        <v>356.06</v>
      </c>
      <c r="I59" s="23">
        <v>10.000999999999999</v>
      </c>
    </row>
    <row r="60" spans="1:9" ht="25.5" x14ac:dyDescent="0.25">
      <c r="A60" s="17" t="s">
        <v>45</v>
      </c>
      <c r="B60" s="17" t="s">
        <v>64</v>
      </c>
      <c r="C60" s="17" t="s">
        <v>50</v>
      </c>
      <c r="D60" s="17">
        <v>0.75</v>
      </c>
      <c r="E60" s="17">
        <v>15</v>
      </c>
      <c r="F60" s="17">
        <v>1</v>
      </c>
      <c r="G60" s="17">
        <v>43</v>
      </c>
      <c r="H60" s="18">
        <v>356.06</v>
      </c>
      <c r="I60" s="19">
        <v>10.000999999999999</v>
      </c>
    </row>
    <row r="61" spans="1:9" ht="25.5" x14ac:dyDescent="0.25">
      <c r="A61" s="21" t="s">
        <v>45</v>
      </c>
      <c r="B61" s="21" t="s">
        <v>64</v>
      </c>
      <c r="C61" s="21" t="s">
        <v>50</v>
      </c>
      <c r="D61" s="21">
        <v>0.75</v>
      </c>
      <c r="E61" s="21">
        <v>15</v>
      </c>
      <c r="F61" s="21">
        <v>2</v>
      </c>
      <c r="G61" s="21">
        <v>44</v>
      </c>
      <c r="H61" s="22">
        <v>356.06</v>
      </c>
      <c r="I61" s="23">
        <v>10</v>
      </c>
    </row>
    <row r="62" spans="1:9" ht="25.5" x14ac:dyDescent="0.25">
      <c r="A62" s="17" t="s">
        <v>45</v>
      </c>
      <c r="B62" s="17" t="s">
        <v>64</v>
      </c>
      <c r="C62" s="17" t="s">
        <v>46</v>
      </c>
      <c r="D62" s="17">
        <v>0.9</v>
      </c>
      <c r="E62" s="17">
        <v>15</v>
      </c>
      <c r="F62" s="17">
        <v>0</v>
      </c>
      <c r="G62" s="17">
        <v>42</v>
      </c>
      <c r="H62" s="18">
        <v>360.15</v>
      </c>
      <c r="I62" s="19">
        <v>10</v>
      </c>
    </row>
    <row r="63" spans="1:9" ht="25.5" x14ac:dyDescent="0.25">
      <c r="A63" s="21" t="s">
        <v>45</v>
      </c>
      <c r="B63" s="21" t="s">
        <v>64</v>
      </c>
      <c r="C63" s="21" t="s">
        <v>46</v>
      </c>
      <c r="D63" s="21">
        <v>0.9</v>
      </c>
      <c r="E63" s="21">
        <v>15</v>
      </c>
      <c r="F63" s="21">
        <v>1</v>
      </c>
      <c r="G63" s="21">
        <v>43</v>
      </c>
      <c r="H63" s="22">
        <v>360.15</v>
      </c>
      <c r="I63" s="23">
        <v>10</v>
      </c>
    </row>
    <row r="64" spans="1:9" ht="25.5" x14ac:dyDescent="0.25">
      <c r="A64" s="17" t="s">
        <v>45</v>
      </c>
      <c r="B64" s="17" t="s">
        <v>64</v>
      </c>
      <c r="C64" s="17" t="s">
        <v>46</v>
      </c>
      <c r="D64" s="17">
        <v>0.9</v>
      </c>
      <c r="E64" s="17">
        <v>15</v>
      </c>
      <c r="F64" s="17">
        <v>2</v>
      </c>
      <c r="G64" s="17">
        <v>44</v>
      </c>
      <c r="H64" s="18">
        <v>360.15</v>
      </c>
      <c r="I64" s="19">
        <v>10.000999999999999</v>
      </c>
    </row>
    <row r="65" spans="1:9" ht="25.5" x14ac:dyDescent="0.25">
      <c r="A65" s="21" t="s">
        <v>45</v>
      </c>
      <c r="B65" s="21" t="s">
        <v>64</v>
      </c>
      <c r="C65" s="21" t="s">
        <v>47</v>
      </c>
      <c r="D65" s="21">
        <v>0.9</v>
      </c>
      <c r="E65" s="21">
        <v>15</v>
      </c>
      <c r="F65" s="21">
        <v>0</v>
      </c>
      <c r="G65" s="21">
        <v>42</v>
      </c>
      <c r="H65" s="22">
        <v>355.72</v>
      </c>
      <c r="I65" s="23">
        <v>10</v>
      </c>
    </row>
    <row r="66" spans="1:9" ht="25.5" x14ac:dyDescent="0.25">
      <c r="A66" s="17" t="s">
        <v>45</v>
      </c>
      <c r="B66" s="17" t="s">
        <v>64</v>
      </c>
      <c r="C66" s="17" t="s">
        <v>47</v>
      </c>
      <c r="D66" s="17">
        <v>0.9</v>
      </c>
      <c r="E66" s="17">
        <v>15</v>
      </c>
      <c r="F66" s="17">
        <v>1</v>
      </c>
      <c r="G66" s="17">
        <v>43</v>
      </c>
      <c r="H66" s="18">
        <v>355.72</v>
      </c>
      <c r="I66" s="19">
        <v>10</v>
      </c>
    </row>
    <row r="67" spans="1:9" ht="25.5" x14ac:dyDescent="0.25">
      <c r="A67" s="21" t="s">
        <v>45</v>
      </c>
      <c r="B67" s="21" t="s">
        <v>64</v>
      </c>
      <c r="C67" s="21" t="s">
        <v>47</v>
      </c>
      <c r="D67" s="21">
        <v>0.9</v>
      </c>
      <c r="E67" s="21">
        <v>15</v>
      </c>
      <c r="F67" s="21">
        <v>2</v>
      </c>
      <c r="G67" s="21">
        <v>44</v>
      </c>
      <c r="H67" s="22">
        <v>355.72</v>
      </c>
      <c r="I67" s="23">
        <v>10.000999999999999</v>
      </c>
    </row>
    <row r="68" spans="1:9" ht="25.5" x14ac:dyDescent="0.25">
      <c r="A68" s="17" t="s">
        <v>45</v>
      </c>
      <c r="B68" s="17" t="s">
        <v>64</v>
      </c>
      <c r="C68" s="17" t="s">
        <v>48</v>
      </c>
      <c r="D68" s="17">
        <v>0.9</v>
      </c>
      <c r="E68" s="17">
        <v>15</v>
      </c>
      <c r="F68" s="17">
        <v>0</v>
      </c>
      <c r="G68" s="17">
        <v>42</v>
      </c>
      <c r="H68" s="18">
        <v>355.5</v>
      </c>
      <c r="I68" s="19">
        <v>10</v>
      </c>
    </row>
    <row r="69" spans="1:9" ht="25.5" x14ac:dyDescent="0.25">
      <c r="A69" s="21" t="s">
        <v>45</v>
      </c>
      <c r="B69" s="21" t="s">
        <v>64</v>
      </c>
      <c r="C69" s="21" t="s">
        <v>48</v>
      </c>
      <c r="D69" s="21">
        <v>0.9</v>
      </c>
      <c r="E69" s="21">
        <v>15</v>
      </c>
      <c r="F69" s="21">
        <v>1</v>
      </c>
      <c r="G69" s="21">
        <v>43</v>
      </c>
      <c r="H69" s="22">
        <v>355.5</v>
      </c>
      <c r="I69" s="23">
        <v>10</v>
      </c>
    </row>
    <row r="70" spans="1:9" ht="25.5" x14ac:dyDescent="0.25">
      <c r="A70" s="17" t="s">
        <v>45</v>
      </c>
      <c r="B70" s="17" t="s">
        <v>64</v>
      </c>
      <c r="C70" s="17" t="s">
        <v>48</v>
      </c>
      <c r="D70" s="17">
        <v>0.9</v>
      </c>
      <c r="E70" s="17">
        <v>15</v>
      </c>
      <c r="F70" s="17">
        <v>2</v>
      </c>
      <c r="G70" s="17">
        <v>44</v>
      </c>
      <c r="H70" s="18">
        <v>355.5</v>
      </c>
      <c r="I70" s="19">
        <v>10.000999999999999</v>
      </c>
    </row>
    <row r="71" spans="1:9" ht="25.5" x14ac:dyDescent="0.25">
      <c r="A71" s="21" t="s">
        <v>45</v>
      </c>
      <c r="B71" s="21" t="s">
        <v>64</v>
      </c>
      <c r="C71" s="21" t="s">
        <v>49</v>
      </c>
      <c r="D71" s="21">
        <v>0.9</v>
      </c>
      <c r="E71" s="21">
        <v>15</v>
      </c>
      <c r="F71" s="21">
        <v>0</v>
      </c>
      <c r="G71" s="21">
        <v>42</v>
      </c>
      <c r="H71" s="22">
        <v>354.25</v>
      </c>
      <c r="I71" s="23">
        <v>10.000999999999999</v>
      </c>
    </row>
    <row r="72" spans="1:9" ht="25.5" x14ac:dyDescent="0.25">
      <c r="A72" s="17" t="s">
        <v>45</v>
      </c>
      <c r="B72" s="17" t="s">
        <v>64</v>
      </c>
      <c r="C72" s="17" t="s">
        <v>49</v>
      </c>
      <c r="D72" s="17">
        <v>0.9</v>
      </c>
      <c r="E72" s="17">
        <v>15</v>
      </c>
      <c r="F72" s="17">
        <v>1</v>
      </c>
      <c r="G72" s="17">
        <v>43</v>
      </c>
      <c r="H72" s="18">
        <v>354.25</v>
      </c>
      <c r="I72" s="19">
        <v>10</v>
      </c>
    </row>
    <row r="73" spans="1:9" ht="25.5" x14ac:dyDescent="0.25">
      <c r="A73" s="21" t="s">
        <v>45</v>
      </c>
      <c r="B73" s="21" t="s">
        <v>64</v>
      </c>
      <c r="C73" s="21" t="s">
        <v>49</v>
      </c>
      <c r="D73" s="21">
        <v>0.9</v>
      </c>
      <c r="E73" s="21">
        <v>15</v>
      </c>
      <c r="F73" s="21">
        <v>2</v>
      </c>
      <c r="G73" s="21">
        <v>44</v>
      </c>
      <c r="H73" s="22">
        <v>354.25</v>
      </c>
      <c r="I73" s="23">
        <v>10</v>
      </c>
    </row>
    <row r="74" spans="1:9" ht="25.5" x14ac:dyDescent="0.25">
      <c r="A74" s="17" t="s">
        <v>45</v>
      </c>
      <c r="B74" s="17" t="s">
        <v>64</v>
      </c>
      <c r="C74" s="17" t="s">
        <v>50</v>
      </c>
      <c r="D74" s="17">
        <v>0.9</v>
      </c>
      <c r="E74" s="17">
        <v>15</v>
      </c>
      <c r="F74" s="17">
        <v>0</v>
      </c>
      <c r="G74" s="17">
        <v>42</v>
      </c>
      <c r="H74" s="18">
        <v>356.06</v>
      </c>
      <c r="I74" s="19">
        <v>10.000999999999999</v>
      </c>
    </row>
    <row r="75" spans="1:9" ht="25.5" x14ac:dyDescent="0.25">
      <c r="A75" s="21" t="s">
        <v>45</v>
      </c>
      <c r="B75" s="21" t="s">
        <v>64</v>
      </c>
      <c r="C75" s="21" t="s">
        <v>50</v>
      </c>
      <c r="D75" s="21">
        <v>0.9</v>
      </c>
      <c r="E75" s="21">
        <v>15</v>
      </c>
      <c r="F75" s="21">
        <v>1</v>
      </c>
      <c r="G75" s="21">
        <v>43</v>
      </c>
      <c r="H75" s="22">
        <v>356.06</v>
      </c>
      <c r="I75" s="23">
        <v>10.000999999999999</v>
      </c>
    </row>
    <row r="76" spans="1:9" ht="25.5" x14ac:dyDescent="0.25">
      <c r="A76" s="17" t="s">
        <v>45</v>
      </c>
      <c r="B76" s="17" t="s">
        <v>64</v>
      </c>
      <c r="C76" s="17" t="s">
        <v>50</v>
      </c>
      <c r="D76" s="17">
        <v>0.9</v>
      </c>
      <c r="E76" s="17">
        <v>15</v>
      </c>
      <c r="F76" s="17">
        <v>2</v>
      </c>
      <c r="G76" s="17">
        <v>44</v>
      </c>
      <c r="H76" s="18">
        <v>356.06</v>
      </c>
      <c r="I76" s="19">
        <v>10</v>
      </c>
    </row>
    <row r="77" spans="1:9" ht="25.5" x14ac:dyDescent="0.25">
      <c r="A77" s="21" t="s">
        <v>45</v>
      </c>
      <c r="B77" s="21" t="s">
        <v>64</v>
      </c>
      <c r="C77" s="21" t="s">
        <v>46</v>
      </c>
      <c r="D77" s="21" t="s">
        <v>51</v>
      </c>
      <c r="E77" s="21">
        <v>15</v>
      </c>
      <c r="F77" s="21">
        <v>0</v>
      </c>
      <c r="G77" s="21">
        <v>42</v>
      </c>
      <c r="H77" s="22">
        <v>360.15</v>
      </c>
      <c r="I77" s="23">
        <v>10</v>
      </c>
    </row>
    <row r="78" spans="1:9" ht="25.5" x14ac:dyDescent="0.25">
      <c r="A78" s="17" t="s">
        <v>45</v>
      </c>
      <c r="B78" s="17" t="s">
        <v>64</v>
      </c>
      <c r="C78" s="17" t="s">
        <v>46</v>
      </c>
      <c r="D78" s="17" t="s">
        <v>51</v>
      </c>
      <c r="E78" s="17">
        <v>15</v>
      </c>
      <c r="F78" s="17">
        <v>1</v>
      </c>
      <c r="G78" s="17">
        <v>43</v>
      </c>
      <c r="H78" s="18">
        <v>360.15</v>
      </c>
      <c r="I78" s="19">
        <v>10</v>
      </c>
    </row>
    <row r="79" spans="1:9" ht="25.5" x14ac:dyDescent="0.25">
      <c r="A79" s="21" t="s">
        <v>45</v>
      </c>
      <c r="B79" s="21" t="s">
        <v>64</v>
      </c>
      <c r="C79" s="21" t="s">
        <v>46</v>
      </c>
      <c r="D79" s="21" t="s">
        <v>51</v>
      </c>
      <c r="E79" s="21">
        <v>15</v>
      </c>
      <c r="F79" s="21">
        <v>2</v>
      </c>
      <c r="G79" s="21">
        <v>44</v>
      </c>
      <c r="H79" s="22">
        <v>357.44</v>
      </c>
      <c r="I79" s="23">
        <v>10.000999999999999</v>
      </c>
    </row>
    <row r="80" spans="1:9" ht="25.5" x14ac:dyDescent="0.25">
      <c r="A80" s="17" t="s">
        <v>45</v>
      </c>
      <c r="B80" s="17" t="s">
        <v>64</v>
      </c>
      <c r="C80" s="17" t="s">
        <v>47</v>
      </c>
      <c r="D80" s="17" t="s">
        <v>51</v>
      </c>
      <c r="E80" s="17">
        <v>15</v>
      </c>
      <c r="F80" s="17">
        <v>0</v>
      </c>
      <c r="G80" s="17">
        <v>42</v>
      </c>
      <c r="H80" s="18">
        <v>355.72</v>
      </c>
      <c r="I80" s="19">
        <v>10</v>
      </c>
    </row>
    <row r="81" spans="1:9" ht="25.5" x14ac:dyDescent="0.25">
      <c r="A81" s="21" t="s">
        <v>45</v>
      </c>
      <c r="B81" s="21" t="s">
        <v>64</v>
      </c>
      <c r="C81" s="21" t="s">
        <v>47</v>
      </c>
      <c r="D81" s="21" t="s">
        <v>51</v>
      </c>
      <c r="E81" s="21">
        <v>15</v>
      </c>
      <c r="F81" s="21">
        <v>1</v>
      </c>
      <c r="G81" s="21">
        <v>43</v>
      </c>
      <c r="H81" s="22">
        <v>355.72</v>
      </c>
      <c r="I81" s="23">
        <v>10.000999999999999</v>
      </c>
    </row>
    <row r="82" spans="1:9" ht="25.5" x14ac:dyDescent="0.25">
      <c r="A82" s="17" t="s">
        <v>45</v>
      </c>
      <c r="B82" s="17" t="s">
        <v>64</v>
      </c>
      <c r="C82" s="17" t="s">
        <v>47</v>
      </c>
      <c r="D82" s="17" t="s">
        <v>51</v>
      </c>
      <c r="E82" s="17">
        <v>15</v>
      </c>
      <c r="F82" s="17">
        <v>2</v>
      </c>
      <c r="G82" s="17">
        <v>44</v>
      </c>
      <c r="H82" s="18">
        <v>355.72</v>
      </c>
      <c r="I82" s="19">
        <v>10</v>
      </c>
    </row>
    <row r="83" spans="1:9" ht="25.5" x14ac:dyDescent="0.25">
      <c r="A83" s="21" t="s">
        <v>45</v>
      </c>
      <c r="B83" s="21" t="s">
        <v>64</v>
      </c>
      <c r="C83" s="21" t="s">
        <v>48</v>
      </c>
      <c r="D83" s="21" t="s">
        <v>51</v>
      </c>
      <c r="E83" s="21">
        <v>15</v>
      </c>
      <c r="F83" s="21">
        <v>0</v>
      </c>
      <c r="G83" s="21">
        <v>42</v>
      </c>
      <c r="H83" s="22">
        <v>355.5</v>
      </c>
      <c r="I83" s="23">
        <v>10</v>
      </c>
    </row>
    <row r="84" spans="1:9" ht="25.5" x14ac:dyDescent="0.25">
      <c r="A84" s="17" t="s">
        <v>45</v>
      </c>
      <c r="B84" s="17" t="s">
        <v>64</v>
      </c>
      <c r="C84" s="17" t="s">
        <v>48</v>
      </c>
      <c r="D84" s="17" t="s">
        <v>51</v>
      </c>
      <c r="E84" s="17">
        <v>15</v>
      </c>
      <c r="F84" s="17">
        <v>1</v>
      </c>
      <c r="G84" s="17">
        <v>43</v>
      </c>
      <c r="H84" s="18">
        <v>355.5</v>
      </c>
      <c r="I84" s="19">
        <v>10.000999999999999</v>
      </c>
    </row>
    <row r="85" spans="1:9" ht="25.5" x14ac:dyDescent="0.25">
      <c r="A85" s="21" t="s">
        <v>45</v>
      </c>
      <c r="B85" s="21" t="s">
        <v>64</v>
      </c>
      <c r="C85" s="21" t="s">
        <v>48</v>
      </c>
      <c r="D85" s="21" t="s">
        <v>51</v>
      </c>
      <c r="E85" s="21">
        <v>15</v>
      </c>
      <c r="F85" s="21">
        <v>2</v>
      </c>
      <c r="G85" s="21">
        <v>44</v>
      </c>
      <c r="H85" s="22">
        <v>355.5</v>
      </c>
      <c r="I85" s="23">
        <v>10.000999999999999</v>
      </c>
    </row>
    <row r="86" spans="1:9" ht="25.5" x14ac:dyDescent="0.25">
      <c r="A86" s="17" t="s">
        <v>45</v>
      </c>
      <c r="B86" s="17" t="s">
        <v>64</v>
      </c>
      <c r="C86" s="17" t="s">
        <v>49</v>
      </c>
      <c r="D86" s="17" t="s">
        <v>51</v>
      </c>
      <c r="E86" s="17">
        <v>15</v>
      </c>
      <c r="F86" s="17">
        <v>0</v>
      </c>
      <c r="G86" s="17">
        <v>42</v>
      </c>
      <c r="H86" s="18">
        <v>351.82</v>
      </c>
      <c r="I86" s="19">
        <v>10.000999999999999</v>
      </c>
    </row>
    <row r="87" spans="1:9" ht="25.5" x14ac:dyDescent="0.25">
      <c r="A87" s="21" t="s">
        <v>45</v>
      </c>
      <c r="B87" s="21" t="s">
        <v>64</v>
      </c>
      <c r="C87" s="21" t="s">
        <v>49</v>
      </c>
      <c r="D87" s="21" t="s">
        <v>51</v>
      </c>
      <c r="E87" s="21">
        <v>15</v>
      </c>
      <c r="F87" s="21">
        <v>1</v>
      </c>
      <c r="G87" s="21">
        <v>43</v>
      </c>
      <c r="H87" s="22">
        <v>354.25</v>
      </c>
      <c r="I87" s="23">
        <v>10.000999999999999</v>
      </c>
    </row>
    <row r="88" spans="1:9" ht="25.5" x14ac:dyDescent="0.25">
      <c r="A88" s="17" t="s">
        <v>45</v>
      </c>
      <c r="B88" s="17" t="s">
        <v>64</v>
      </c>
      <c r="C88" s="17" t="s">
        <v>49</v>
      </c>
      <c r="D88" s="17" t="s">
        <v>51</v>
      </c>
      <c r="E88" s="17">
        <v>15</v>
      </c>
      <c r="F88" s="17">
        <v>2</v>
      </c>
      <c r="G88" s="17">
        <v>44</v>
      </c>
      <c r="H88" s="18">
        <v>354.25</v>
      </c>
      <c r="I88" s="19">
        <v>10.000999999999999</v>
      </c>
    </row>
    <row r="89" spans="1:9" ht="25.5" x14ac:dyDescent="0.25">
      <c r="A89" s="21" t="s">
        <v>45</v>
      </c>
      <c r="B89" s="21" t="s">
        <v>64</v>
      </c>
      <c r="C89" s="21" t="s">
        <v>50</v>
      </c>
      <c r="D89" s="21" t="s">
        <v>51</v>
      </c>
      <c r="E89" s="21">
        <v>15</v>
      </c>
      <c r="F89" s="21">
        <v>0</v>
      </c>
      <c r="G89" s="21">
        <v>42</v>
      </c>
      <c r="H89" s="22">
        <v>356.06</v>
      </c>
      <c r="I89" s="23">
        <v>10.000999999999999</v>
      </c>
    </row>
    <row r="90" spans="1:9" ht="25.5" x14ac:dyDescent="0.25">
      <c r="A90" s="17" t="s">
        <v>45</v>
      </c>
      <c r="B90" s="17" t="s">
        <v>64</v>
      </c>
      <c r="C90" s="17" t="s">
        <v>50</v>
      </c>
      <c r="D90" s="17" t="s">
        <v>51</v>
      </c>
      <c r="E90" s="17">
        <v>15</v>
      </c>
      <c r="F90" s="17">
        <v>1</v>
      </c>
      <c r="G90" s="17">
        <v>43</v>
      </c>
      <c r="H90" s="18">
        <v>356.06</v>
      </c>
      <c r="I90" s="19">
        <v>10</v>
      </c>
    </row>
    <row r="91" spans="1:9" ht="25.5" x14ac:dyDescent="0.25">
      <c r="A91" s="21" t="s">
        <v>45</v>
      </c>
      <c r="B91" s="21" t="s">
        <v>64</v>
      </c>
      <c r="C91" s="21" t="s">
        <v>50</v>
      </c>
      <c r="D91" s="21" t="s">
        <v>51</v>
      </c>
      <c r="E91" s="21">
        <v>15</v>
      </c>
      <c r="F91" s="21">
        <v>2</v>
      </c>
      <c r="G91" s="21">
        <v>44</v>
      </c>
      <c r="H91" s="22">
        <v>356.06</v>
      </c>
      <c r="I91" s="23">
        <v>10.000999999999999</v>
      </c>
    </row>
    <row r="92" spans="1:9" ht="25.5" x14ac:dyDescent="0.25">
      <c r="A92" s="17" t="s">
        <v>45</v>
      </c>
      <c r="B92" s="17" t="s">
        <v>65</v>
      </c>
      <c r="C92" s="17" t="s">
        <v>46</v>
      </c>
      <c r="D92" s="17">
        <v>0.25</v>
      </c>
      <c r="E92" s="17">
        <v>5</v>
      </c>
      <c r="F92" s="17">
        <v>0</v>
      </c>
      <c r="G92" s="17">
        <v>42</v>
      </c>
      <c r="H92" s="18">
        <v>360.15</v>
      </c>
      <c r="I92" s="19">
        <v>10</v>
      </c>
    </row>
    <row r="93" spans="1:9" ht="25.5" x14ac:dyDescent="0.25">
      <c r="A93" s="21" t="s">
        <v>45</v>
      </c>
      <c r="B93" s="21" t="s">
        <v>65</v>
      </c>
      <c r="C93" s="21" t="s">
        <v>46</v>
      </c>
      <c r="D93" s="21">
        <v>0.25</v>
      </c>
      <c r="E93" s="21">
        <v>5</v>
      </c>
      <c r="F93" s="21">
        <v>1</v>
      </c>
      <c r="G93" s="21">
        <v>43</v>
      </c>
      <c r="H93" s="22">
        <v>360.15</v>
      </c>
      <c r="I93" s="23">
        <v>10.000999999999999</v>
      </c>
    </row>
    <row r="94" spans="1:9" ht="25.5" x14ac:dyDescent="0.25">
      <c r="A94" s="17" t="s">
        <v>45</v>
      </c>
      <c r="B94" s="17" t="s">
        <v>65</v>
      </c>
      <c r="C94" s="17" t="s">
        <v>46</v>
      </c>
      <c r="D94" s="17">
        <v>0.25</v>
      </c>
      <c r="E94" s="17">
        <v>5</v>
      </c>
      <c r="F94" s="17">
        <v>2</v>
      </c>
      <c r="G94" s="17">
        <v>44</v>
      </c>
      <c r="H94" s="18">
        <v>360.15</v>
      </c>
      <c r="I94" s="19">
        <v>10</v>
      </c>
    </row>
    <row r="95" spans="1:9" ht="25.5" x14ac:dyDescent="0.25">
      <c r="A95" s="21" t="s">
        <v>45</v>
      </c>
      <c r="B95" s="21" t="s">
        <v>65</v>
      </c>
      <c r="C95" s="21" t="s">
        <v>47</v>
      </c>
      <c r="D95" s="21">
        <v>0.25</v>
      </c>
      <c r="E95" s="21">
        <v>5</v>
      </c>
      <c r="F95" s="21">
        <v>0</v>
      </c>
      <c r="G95" s="21">
        <v>42</v>
      </c>
      <c r="H95" s="22">
        <v>355.72</v>
      </c>
      <c r="I95" s="23">
        <v>10.000999999999999</v>
      </c>
    </row>
    <row r="96" spans="1:9" ht="25.5" x14ac:dyDescent="0.25">
      <c r="A96" s="17" t="s">
        <v>45</v>
      </c>
      <c r="B96" s="17" t="s">
        <v>65</v>
      </c>
      <c r="C96" s="17" t="s">
        <v>47</v>
      </c>
      <c r="D96" s="17">
        <v>0.25</v>
      </c>
      <c r="E96" s="17">
        <v>5</v>
      </c>
      <c r="F96" s="17">
        <v>1</v>
      </c>
      <c r="G96" s="17">
        <v>43</v>
      </c>
      <c r="H96" s="18">
        <v>355.72</v>
      </c>
      <c r="I96" s="19">
        <v>10</v>
      </c>
    </row>
    <row r="97" spans="1:9" ht="25.5" x14ac:dyDescent="0.25">
      <c r="A97" s="21" t="s">
        <v>45</v>
      </c>
      <c r="B97" s="21" t="s">
        <v>65</v>
      </c>
      <c r="C97" s="21" t="s">
        <v>47</v>
      </c>
      <c r="D97" s="21">
        <v>0.25</v>
      </c>
      <c r="E97" s="21">
        <v>5</v>
      </c>
      <c r="F97" s="21">
        <v>2</v>
      </c>
      <c r="G97" s="21">
        <v>44</v>
      </c>
      <c r="H97" s="22">
        <v>355.72</v>
      </c>
      <c r="I97" s="23">
        <v>10.000999999999999</v>
      </c>
    </row>
    <row r="98" spans="1:9" ht="25.5" x14ac:dyDescent="0.25">
      <c r="A98" s="17" t="s">
        <v>45</v>
      </c>
      <c r="B98" s="17" t="s">
        <v>65</v>
      </c>
      <c r="C98" s="17" t="s">
        <v>48</v>
      </c>
      <c r="D98" s="17">
        <v>0.25</v>
      </c>
      <c r="E98" s="17">
        <v>5</v>
      </c>
      <c r="F98" s="17">
        <v>0</v>
      </c>
      <c r="G98" s="17">
        <v>42</v>
      </c>
      <c r="H98" s="18">
        <v>355.5</v>
      </c>
      <c r="I98" s="19">
        <v>10</v>
      </c>
    </row>
    <row r="99" spans="1:9" ht="25.5" x14ac:dyDescent="0.25">
      <c r="A99" s="21" t="s">
        <v>45</v>
      </c>
      <c r="B99" s="21" t="s">
        <v>65</v>
      </c>
      <c r="C99" s="21" t="s">
        <v>48</v>
      </c>
      <c r="D99" s="21">
        <v>0.25</v>
      </c>
      <c r="E99" s="21">
        <v>5</v>
      </c>
      <c r="F99" s="21">
        <v>1</v>
      </c>
      <c r="G99" s="21">
        <v>43</v>
      </c>
      <c r="H99" s="22">
        <v>355.5</v>
      </c>
      <c r="I99" s="23">
        <v>10</v>
      </c>
    </row>
    <row r="100" spans="1:9" ht="25.5" x14ac:dyDescent="0.25">
      <c r="A100" s="17" t="s">
        <v>45</v>
      </c>
      <c r="B100" s="17" t="s">
        <v>65</v>
      </c>
      <c r="C100" s="17" t="s">
        <v>48</v>
      </c>
      <c r="D100" s="17">
        <v>0.25</v>
      </c>
      <c r="E100" s="17">
        <v>5</v>
      </c>
      <c r="F100" s="17">
        <v>2</v>
      </c>
      <c r="G100" s="17">
        <v>44</v>
      </c>
      <c r="H100" s="18">
        <v>355.5</v>
      </c>
      <c r="I100" s="19">
        <v>10</v>
      </c>
    </row>
    <row r="101" spans="1:9" ht="25.5" x14ac:dyDescent="0.25">
      <c r="A101" s="21" t="s">
        <v>45</v>
      </c>
      <c r="B101" s="21" t="s">
        <v>65</v>
      </c>
      <c r="C101" s="21" t="s">
        <v>49</v>
      </c>
      <c r="D101" s="21">
        <v>0.25</v>
      </c>
      <c r="E101" s="21">
        <v>5</v>
      </c>
      <c r="F101" s="21">
        <v>0</v>
      </c>
      <c r="G101" s="21">
        <v>42</v>
      </c>
      <c r="H101" s="22">
        <v>354.25</v>
      </c>
      <c r="I101" s="23">
        <v>10.000999999999999</v>
      </c>
    </row>
    <row r="102" spans="1:9" ht="25.5" x14ac:dyDescent="0.25">
      <c r="A102" s="17" t="s">
        <v>45</v>
      </c>
      <c r="B102" s="17" t="s">
        <v>65</v>
      </c>
      <c r="C102" s="17" t="s">
        <v>49</v>
      </c>
      <c r="D102" s="17">
        <v>0.25</v>
      </c>
      <c r="E102" s="17">
        <v>5</v>
      </c>
      <c r="F102" s="17">
        <v>1</v>
      </c>
      <c r="G102" s="17">
        <v>43</v>
      </c>
      <c r="H102" s="18">
        <v>354.25</v>
      </c>
      <c r="I102" s="19">
        <v>10.000999999999999</v>
      </c>
    </row>
    <row r="103" spans="1:9" ht="25.5" x14ac:dyDescent="0.25">
      <c r="A103" s="21" t="s">
        <v>45</v>
      </c>
      <c r="B103" s="21" t="s">
        <v>65</v>
      </c>
      <c r="C103" s="21" t="s">
        <v>49</v>
      </c>
      <c r="D103" s="21">
        <v>0.25</v>
      </c>
      <c r="E103" s="21">
        <v>5</v>
      </c>
      <c r="F103" s="21">
        <v>2</v>
      </c>
      <c r="G103" s="21">
        <v>44</v>
      </c>
      <c r="H103" s="22">
        <v>349.53</v>
      </c>
      <c r="I103" s="23">
        <v>10.000999999999999</v>
      </c>
    </row>
    <row r="104" spans="1:9" ht="25.5" x14ac:dyDescent="0.25">
      <c r="A104" s="17" t="s">
        <v>45</v>
      </c>
      <c r="B104" s="17" t="s">
        <v>65</v>
      </c>
      <c r="C104" s="17" t="s">
        <v>50</v>
      </c>
      <c r="D104" s="17">
        <v>0.25</v>
      </c>
      <c r="E104" s="17">
        <v>5</v>
      </c>
      <c r="F104" s="17">
        <v>0</v>
      </c>
      <c r="G104" s="17">
        <v>42</v>
      </c>
      <c r="H104" s="18">
        <v>356.06</v>
      </c>
      <c r="I104" s="19">
        <v>10</v>
      </c>
    </row>
    <row r="105" spans="1:9" ht="25.5" x14ac:dyDescent="0.25">
      <c r="A105" s="21" t="s">
        <v>45</v>
      </c>
      <c r="B105" s="21" t="s">
        <v>65</v>
      </c>
      <c r="C105" s="21" t="s">
        <v>50</v>
      </c>
      <c r="D105" s="21">
        <v>0.25</v>
      </c>
      <c r="E105" s="21">
        <v>5</v>
      </c>
      <c r="F105" s="21">
        <v>1</v>
      </c>
      <c r="G105" s="21">
        <v>43</v>
      </c>
      <c r="H105" s="22">
        <v>352.59</v>
      </c>
      <c r="I105" s="23">
        <v>10.000999999999999</v>
      </c>
    </row>
    <row r="106" spans="1:9" ht="25.5" x14ac:dyDescent="0.25">
      <c r="A106" s="17" t="s">
        <v>45</v>
      </c>
      <c r="B106" s="17" t="s">
        <v>65</v>
      </c>
      <c r="C106" s="17" t="s">
        <v>50</v>
      </c>
      <c r="D106" s="17">
        <v>0.25</v>
      </c>
      <c r="E106" s="17">
        <v>5</v>
      </c>
      <c r="F106" s="17">
        <v>2</v>
      </c>
      <c r="G106" s="17">
        <v>44</v>
      </c>
      <c r="H106" s="18">
        <v>349.81</v>
      </c>
      <c r="I106" s="19">
        <v>10.000999999999999</v>
      </c>
    </row>
    <row r="107" spans="1:9" ht="25.5" x14ac:dyDescent="0.25">
      <c r="A107" s="21" t="s">
        <v>45</v>
      </c>
      <c r="B107" s="21" t="s">
        <v>65</v>
      </c>
      <c r="C107" s="21" t="s">
        <v>46</v>
      </c>
      <c r="D107" s="21">
        <v>0.25</v>
      </c>
      <c r="E107" s="21">
        <v>10</v>
      </c>
      <c r="F107" s="21">
        <v>0</v>
      </c>
      <c r="G107" s="21">
        <v>42</v>
      </c>
      <c r="H107" s="22">
        <v>360.15</v>
      </c>
      <c r="I107" s="23">
        <v>10.000999999999999</v>
      </c>
    </row>
    <row r="108" spans="1:9" ht="25.5" x14ac:dyDescent="0.25">
      <c r="A108" s="17" t="s">
        <v>45</v>
      </c>
      <c r="B108" s="17" t="s">
        <v>65</v>
      </c>
      <c r="C108" s="17" t="s">
        <v>46</v>
      </c>
      <c r="D108" s="17">
        <v>0.25</v>
      </c>
      <c r="E108" s="17">
        <v>10</v>
      </c>
      <c r="F108" s="17">
        <v>1</v>
      </c>
      <c r="G108" s="17">
        <v>43</v>
      </c>
      <c r="H108" s="18">
        <v>360.15</v>
      </c>
      <c r="I108" s="19">
        <v>10</v>
      </c>
    </row>
    <row r="109" spans="1:9" ht="25.5" x14ac:dyDescent="0.25">
      <c r="A109" s="21" t="s">
        <v>45</v>
      </c>
      <c r="B109" s="21" t="s">
        <v>65</v>
      </c>
      <c r="C109" s="21" t="s">
        <v>46</v>
      </c>
      <c r="D109" s="21">
        <v>0.25</v>
      </c>
      <c r="E109" s="21">
        <v>10</v>
      </c>
      <c r="F109" s="21">
        <v>2</v>
      </c>
      <c r="G109" s="21">
        <v>44</v>
      </c>
      <c r="H109" s="22">
        <v>360.15</v>
      </c>
      <c r="I109" s="23">
        <v>10.000999999999999</v>
      </c>
    </row>
    <row r="110" spans="1:9" ht="25.5" x14ac:dyDescent="0.25">
      <c r="A110" s="17" t="s">
        <v>45</v>
      </c>
      <c r="B110" s="17" t="s">
        <v>65</v>
      </c>
      <c r="C110" s="17" t="s">
        <v>47</v>
      </c>
      <c r="D110" s="17">
        <v>0.25</v>
      </c>
      <c r="E110" s="17">
        <v>10</v>
      </c>
      <c r="F110" s="17">
        <v>0</v>
      </c>
      <c r="G110" s="17">
        <v>42</v>
      </c>
      <c r="H110" s="18">
        <v>355.72</v>
      </c>
      <c r="I110" s="19">
        <v>10</v>
      </c>
    </row>
    <row r="111" spans="1:9" ht="25.5" x14ac:dyDescent="0.25">
      <c r="A111" s="21" t="s">
        <v>45</v>
      </c>
      <c r="B111" s="21" t="s">
        <v>65</v>
      </c>
      <c r="C111" s="21" t="s">
        <v>47</v>
      </c>
      <c r="D111" s="21">
        <v>0.25</v>
      </c>
      <c r="E111" s="21">
        <v>10</v>
      </c>
      <c r="F111" s="21">
        <v>1</v>
      </c>
      <c r="G111" s="21">
        <v>43</v>
      </c>
      <c r="H111" s="22">
        <v>355.72</v>
      </c>
      <c r="I111" s="23">
        <v>10</v>
      </c>
    </row>
    <row r="112" spans="1:9" ht="25.5" x14ac:dyDescent="0.25">
      <c r="A112" s="17" t="s">
        <v>45</v>
      </c>
      <c r="B112" s="17" t="s">
        <v>65</v>
      </c>
      <c r="C112" s="17" t="s">
        <v>47</v>
      </c>
      <c r="D112" s="17">
        <v>0.25</v>
      </c>
      <c r="E112" s="17">
        <v>10</v>
      </c>
      <c r="F112" s="17">
        <v>2</v>
      </c>
      <c r="G112" s="17">
        <v>44</v>
      </c>
      <c r="H112" s="18">
        <v>355.72</v>
      </c>
      <c r="I112" s="19">
        <v>10</v>
      </c>
    </row>
    <row r="113" spans="1:9" ht="25.5" x14ac:dyDescent="0.25">
      <c r="A113" s="21" t="s">
        <v>45</v>
      </c>
      <c r="B113" s="21" t="s">
        <v>65</v>
      </c>
      <c r="C113" s="21" t="s">
        <v>48</v>
      </c>
      <c r="D113" s="21">
        <v>0.25</v>
      </c>
      <c r="E113" s="21">
        <v>10</v>
      </c>
      <c r="F113" s="21">
        <v>0</v>
      </c>
      <c r="G113" s="21">
        <v>42</v>
      </c>
      <c r="H113" s="22">
        <v>355.5</v>
      </c>
      <c r="I113" s="23">
        <v>10</v>
      </c>
    </row>
    <row r="114" spans="1:9" ht="25.5" x14ac:dyDescent="0.25">
      <c r="A114" s="17" t="s">
        <v>45</v>
      </c>
      <c r="B114" s="17" t="s">
        <v>65</v>
      </c>
      <c r="C114" s="17" t="s">
        <v>48</v>
      </c>
      <c r="D114" s="17">
        <v>0.25</v>
      </c>
      <c r="E114" s="17">
        <v>10</v>
      </c>
      <c r="F114" s="17">
        <v>1</v>
      </c>
      <c r="G114" s="17">
        <v>43</v>
      </c>
      <c r="H114" s="18">
        <v>355.5</v>
      </c>
      <c r="I114" s="19">
        <v>10.000999999999999</v>
      </c>
    </row>
    <row r="115" spans="1:9" ht="25.5" x14ac:dyDescent="0.25">
      <c r="A115" s="21" t="s">
        <v>45</v>
      </c>
      <c r="B115" s="21" t="s">
        <v>65</v>
      </c>
      <c r="C115" s="21" t="s">
        <v>48</v>
      </c>
      <c r="D115" s="21">
        <v>0.25</v>
      </c>
      <c r="E115" s="21">
        <v>10</v>
      </c>
      <c r="F115" s="21">
        <v>2</v>
      </c>
      <c r="G115" s="21">
        <v>44</v>
      </c>
      <c r="H115" s="22">
        <v>355.5</v>
      </c>
      <c r="I115" s="23">
        <v>10.000999999999999</v>
      </c>
    </row>
    <row r="116" spans="1:9" ht="25.5" x14ac:dyDescent="0.25">
      <c r="A116" s="17" t="s">
        <v>45</v>
      </c>
      <c r="B116" s="17" t="s">
        <v>65</v>
      </c>
      <c r="C116" s="17" t="s">
        <v>49</v>
      </c>
      <c r="D116" s="17">
        <v>0.25</v>
      </c>
      <c r="E116" s="17">
        <v>10</v>
      </c>
      <c r="F116" s="17">
        <v>0</v>
      </c>
      <c r="G116" s="17">
        <v>42</v>
      </c>
      <c r="H116" s="18">
        <v>354.25</v>
      </c>
      <c r="I116" s="19">
        <v>10.000999999999999</v>
      </c>
    </row>
    <row r="117" spans="1:9" ht="25.5" x14ac:dyDescent="0.25">
      <c r="A117" s="21" t="s">
        <v>45</v>
      </c>
      <c r="B117" s="21" t="s">
        <v>65</v>
      </c>
      <c r="C117" s="21" t="s">
        <v>49</v>
      </c>
      <c r="D117" s="21">
        <v>0.25</v>
      </c>
      <c r="E117" s="21">
        <v>10</v>
      </c>
      <c r="F117" s="21">
        <v>1</v>
      </c>
      <c r="G117" s="21">
        <v>43</v>
      </c>
      <c r="H117" s="22">
        <v>354.25</v>
      </c>
      <c r="I117" s="23">
        <v>10</v>
      </c>
    </row>
    <row r="118" spans="1:9" ht="25.5" x14ac:dyDescent="0.25">
      <c r="A118" s="17" t="s">
        <v>45</v>
      </c>
      <c r="B118" s="17" t="s">
        <v>65</v>
      </c>
      <c r="C118" s="17" t="s">
        <v>49</v>
      </c>
      <c r="D118" s="17">
        <v>0.25</v>
      </c>
      <c r="E118" s="17">
        <v>10</v>
      </c>
      <c r="F118" s="17">
        <v>2</v>
      </c>
      <c r="G118" s="17">
        <v>44</v>
      </c>
      <c r="H118" s="18">
        <v>354.25</v>
      </c>
      <c r="I118" s="19">
        <v>10.000999999999999</v>
      </c>
    </row>
    <row r="119" spans="1:9" ht="25.5" x14ac:dyDescent="0.25">
      <c r="A119" s="21" t="s">
        <v>45</v>
      </c>
      <c r="B119" s="21" t="s">
        <v>65</v>
      </c>
      <c r="C119" s="21" t="s">
        <v>50</v>
      </c>
      <c r="D119" s="21">
        <v>0.25</v>
      </c>
      <c r="E119" s="21">
        <v>10</v>
      </c>
      <c r="F119" s="21">
        <v>0</v>
      </c>
      <c r="G119" s="21">
        <v>42</v>
      </c>
      <c r="H119" s="22">
        <v>356.06</v>
      </c>
      <c r="I119" s="23">
        <v>10.000999999999999</v>
      </c>
    </row>
    <row r="120" spans="1:9" ht="25.5" x14ac:dyDescent="0.25">
      <c r="A120" s="17" t="s">
        <v>45</v>
      </c>
      <c r="B120" s="17" t="s">
        <v>65</v>
      </c>
      <c r="C120" s="17" t="s">
        <v>50</v>
      </c>
      <c r="D120" s="17">
        <v>0.25</v>
      </c>
      <c r="E120" s="17">
        <v>10</v>
      </c>
      <c r="F120" s="17">
        <v>1</v>
      </c>
      <c r="G120" s="17">
        <v>43</v>
      </c>
      <c r="H120" s="18">
        <v>356.06</v>
      </c>
      <c r="I120" s="19">
        <v>10.000999999999999</v>
      </c>
    </row>
    <row r="121" spans="1:9" ht="25.5" x14ac:dyDescent="0.25">
      <c r="A121" s="21" t="s">
        <v>45</v>
      </c>
      <c r="B121" s="21" t="s">
        <v>65</v>
      </c>
      <c r="C121" s="21" t="s">
        <v>50</v>
      </c>
      <c r="D121" s="21">
        <v>0.25</v>
      </c>
      <c r="E121" s="21">
        <v>10</v>
      </c>
      <c r="F121" s="21">
        <v>2</v>
      </c>
      <c r="G121" s="21">
        <v>44</v>
      </c>
      <c r="H121" s="22">
        <v>356.06</v>
      </c>
      <c r="I121" s="23">
        <v>10</v>
      </c>
    </row>
    <row r="122" spans="1:9" ht="25.5" x14ac:dyDescent="0.25">
      <c r="A122" s="17" t="s">
        <v>45</v>
      </c>
      <c r="B122" s="17" t="s">
        <v>65</v>
      </c>
      <c r="C122" s="17" t="s">
        <v>46</v>
      </c>
      <c r="D122" s="17">
        <v>0.25</v>
      </c>
      <c r="E122" s="17">
        <v>15</v>
      </c>
      <c r="F122" s="17">
        <v>0</v>
      </c>
      <c r="G122" s="17">
        <v>42</v>
      </c>
      <c r="H122" s="18">
        <v>360.15</v>
      </c>
      <c r="I122" s="19">
        <v>10.000999999999999</v>
      </c>
    </row>
    <row r="123" spans="1:9" ht="25.5" x14ac:dyDescent="0.25">
      <c r="A123" s="21" t="s">
        <v>45</v>
      </c>
      <c r="B123" s="21" t="s">
        <v>65</v>
      </c>
      <c r="C123" s="21" t="s">
        <v>46</v>
      </c>
      <c r="D123" s="21">
        <v>0.25</v>
      </c>
      <c r="E123" s="21">
        <v>15</v>
      </c>
      <c r="F123" s="21">
        <v>1</v>
      </c>
      <c r="G123" s="21">
        <v>43</v>
      </c>
      <c r="H123" s="22">
        <v>360.15</v>
      </c>
      <c r="I123" s="23">
        <v>10.000999999999999</v>
      </c>
    </row>
    <row r="124" spans="1:9" ht="25.5" x14ac:dyDescent="0.25">
      <c r="A124" s="17" t="s">
        <v>45</v>
      </c>
      <c r="B124" s="17" t="s">
        <v>65</v>
      </c>
      <c r="C124" s="17" t="s">
        <v>46</v>
      </c>
      <c r="D124" s="17">
        <v>0.25</v>
      </c>
      <c r="E124" s="17">
        <v>15</v>
      </c>
      <c r="F124" s="17">
        <v>2</v>
      </c>
      <c r="G124" s="17">
        <v>44</v>
      </c>
      <c r="H124" s="18">
        <v>360.15</v>
      </c>
      <c r="I124" s="19">
        <v>10.000999999999999</v>
      </c>
    </row>
    <row r="125" spans="1:9" ht="25.5" x14ac:dyDescent="0.25">
      <c r="A125" s="21" t="s">
        <v>45</v>
      </c>
      <c r="B125" s="21" t="s">
        <v>65</v>
      </c>
      <c r="C125" s="21" t="s">
        <v>47</v>
      </c>
      <c r="D125" s="21">
        <v>0.25</v>
      </c>
      <c r="E125" s="21">
        <v>15</v>
      </c>
      <c r="F125" s="21">
        <v>0</v>
      </c>
      <c r="G125" s="21">
        <v>42</v>
      </c>
      <c r="H125" s="22">
        <v>355.72</v>
      </c>
      <c r="I125" s="23">
        <v>10</v>
      </c>
    </row>
    <row r="126" spans="1:9" ht="25.5" x14ac:dyDescent="0.25">
      <c r="A126" s="17" t="s">
        <v>45</v>
      </c>
      <c r="B126" s="17" t="s">
        <v>65</v>
      </c>
      <c r="C126" s="17" t="s">
        <v>47</v>
      </c>
      <c r="D126" s="17">
        <v>0.25</v>
      </c>
      <c r="E126" s="17">
        <v>15</v>
      </c>
      <c r="F126" s="17">
        <v>1</v>
      </c>
      <c r="G126" s="17">
        <v>43</v>
      </c>
      <c r="H126" s="18">
        <v>355.72</v>
      </c>
      <c r="I126" s="19">
        <v>10</v>
      </c>
    </row>
    <row r="127" spans="1:9" ht="25.5" x14ac:dyDescent="0.25">
      <c r="A127" s="21" t="s">
        <v>45</v>
      </c>
      <c r="B127" s="21" t="s">
        <v>65</v>
      </c>
      <c r="C127" s="21" t="s">
        <v>47</v>
      </c>
      <c r="D127" s="21">
        <v>0.25</v>
      </c>
      <c r="E127" s="21">
        <v>15</v>
      </c>
      <c r="F127" s="21">
        <v>2</v>
      </c>
      <c r="G127" s="21">
        <v>44</v>
      </c>
      <c r="H127" s="22">
        <v>355.72</v>
      </c>
      <c r="I127" s="23">
        <v>10.000999999999999</v>
      </c>
    </row>
    <row r="128" spans="1:9" ht="25.5" x14ac:dyDescent="0.25">
      <c r="A128" s="17" t="s">
        <v>45</v>
      </c>
      <c r="B128" s="17" t="s">
        <v>65</v>
      </c>
      <c r="C128" s="17" t="s">
        <v>48</v>
      </c>
      <c r="D128" s="17">
        <v>0.25</v>
      </c>
      <c r="E128" s="17">
        <v>15</v>
      </c>
      <c r="F128" s="17">
        <v>0</v>
      </c>
      <c r="G128" s="17">
        <v>42</v>
      </c>
      <c r="H128" s="18">
        <v>355.5</v>
      </c>
      <c r="I128" s="19">
        <v>10</v>
      </c>
    </row>
    <row r="129" spans="1:9" ht="25.5" x14ac:dyDescent="0.25">
      <c r="A129" s="21" t="s">
        <v>45</v>
      </c>
      <c r="B129" s="21" t="s">
        <v>65</v>
      </c>
      <c r="C129" s="21" t="s">
        <v>48</v>
      </c>
      <c r="D129" s="21">
        <v>0.25</v>
      </c>
      <c r="E129" s="21">
        <v>15</v>
      </c>
      <c r="F129" s="21">
        <v>1</v>
      </c>
      <c r="G129" s="21">
        <v>43</v>
      </c>
      <c r="H129" s="22">
        <v>355.5</v>
      </c>
      <c r="I129" s="23">
        <v>10.000999999999999</v>
      </c>
    </row>
    <row r="130" spans="1:9" ht="25.5" x14ac:dyDescent="0.25">
      <c r="A130" s="17" t="s">
        <v>45</v>
      </c>
      <c r="B130" s="17" t="s">
        <v>65</v>
      </c>
      <c r="C130" s="17" t="s">
        <v>48</v>
      </c>
      <c r="D130" s="17">
        <v>0.25</v>
      </c>
      <c r="E130" s="17">
        <v>15</v>
      </c>
      <c r="F130" s="17">
        <v>2</v>
      </c>
      <c r="G130" s="17">
        <v>44</v>
      </c>
      <c r="H130" s="18">
        <v>355.5</v>
      </c>
      <c r="I130" s="19">
        <v>10</v>
      </c>
    </row>
    <row r="131" spans="1:9" ht="25.5" x14ac:dyDescent="0.25">
      <c r="A131" s="21" t="s">
        <v>45</v>
      </c>
      <c r="B131" s="21" t="s">
        <v>65</v>
      </c>
      <c r="C131" s="21" t="s">
        <v>49</v>
      </c>
      <c r="D131" s="21">
        <v>0.25</v>
      </c>
      <c r="E131" s="21">
        <v>15</v>
      </c>
      <c r="F131" s="21">
        <v>0</v>
      </c>
      <c r="G131" s="21">
        <v>42</v>
      </c>
      <c r="H131" s="22">
        <v>354.25</v>
      </c>
      <c r="I131" s="23">
        <v>10.000999999999999</v>
      </c>
    </row>
    <row r="132" spans="1:9" ht="25.5" x14ac:dyDescent="0.25">
      <c r="A132" s="17" t="s">
        <v>45</v>
      </c>
      <c r="B132" s="17" t="s">
        <v>65</v>
      </c>
      <c r="C132" s="17" t="s">
        <v>49</v>
      </c>
      <c r="D132" s="17">
        <v>0.25</v>
      </c>
      <c r="E132" s="17">
        <v>15</v>
      </c>
      <c r="F132" s="17">
        <v>1</v>
      </c>
      <c r="G132" s="17">
        <v>43</v>
      </c>
      <c r="H132" s="18">
        <v>354.25</v>
      </c>
      <c r="I132" s="19">
        <v>10</v>
      </c>
    </row>
    <row r="133" spans="1:9" ht="25.5" x14ac:dyDescent="0.25">
      <c r="A133" s="21" t="s">
        <v>45</v>
      </c>
      <c r="B133" s="21" t="s">
        <v>65</v>
      </c>
      <c r="C133" s="21" t="s">
        <v>49</v>
      </c>
      <c r="D133" s="21">
        <v>0.25</v>
      </c>
      <c r="E133" s="21">
        <v>15</v>
      </c>
      <c r="F133" s="21">
        <v>2</v>
      </c>
      <c r="G133" s="21">
        <v>44</v>
      </c>
      <c r="H133" s="22">
        <v>354.25</v>
      </c>
      <c r="I133" s="23">
        <v>10</v>
      </c>
    </row>
    <row r="134" spans="1:9" ht="25.5" x14ac:dyDescent="0.25">
      <c r="A134" s="17" t="s">
        <v>45</v>
      </c>
      <c r="B134" s="17" t="s">
        <v>65</v>
      </c>
      <c r="C134" s="17" t="s">
        <v>50</v>
      </c>
      <c r="D134" s="17">
        <v>0.25</v>
      </c>
      <c r="E134" s="17">
        <v>15</v>
      </c>
      <c r="F134" s="17">
        <v>0</v>
      </c>
      <c r="G134" s="17">
        <v>42</v>
      </c>
      <c r="H134" s="18">
        <v>356.06</v>
      </c>
      <c r="I134" s="19">
        <v>10</v>
      </c>
    </row>
    <row r="135" spans="1:9" ht="25.5" x14ac:dyDescent="0.25">
      <c r="A135" s="21" t="s">
        <v>45</v>
      </c>
      <c r="B135" s="21" t="s">
        <v>65</v>
      </c>
      <c r="C135" s="21" t="s">
        <v>50</v>
      </c>
      <c r="D135" s="21">
        <v>0.25</v>
      </c>
      <c r="E135" s="21">
        <v>15</v>
      </c>
      <c r="F135" s="21">
        <v>1</v>
      </c>
      <c r="G135" s="21">
        <v>43</v>
      </c>
      <c r="H135" s="22">
        <v>356.06</v>
      </c>
      <c r="I135" s="23">
        <v>10.000999999999999</v>
      </c>
    </row>
    <row r="136" spans="1:9" ht="25.5" x14ac:dyDescent="0.25">
      <c r="A136" s="17" t="s">
        <v>45</v>
      </c>
      <c r="B136" s="17" t="s">
        <v>65</v>
      </c>
      <c r="C136" s="17" t="s">
        <v>50</v>
      </c>
      <c r="D136" s="17">
        <v>0.25</v>
      </c>
      <c r="E136" s="17">
        <v>15</v>
      </c>
      <c r="F136" s="17">
        <v>2</v>
      </c>
      <c r="G136" s="17">
        <v>44</v>
      </c>
      <c r="H136" s="18">
        <v>356.06</v>
      </c>
      <c r="I136" s="19">
        <v>10.000999999999999</v>
      </c>
    </row>
    <row r="137" spans="1:9" ht="25.5" x14ac:dyDescent="0.25">
      <c r="A137" s="21" t="s">
        <v>45</v>
      </c>
      <c r="B137" s="21" t="s">
        <v>65</v>
      </c>
      <c r="C137" s="21" t="s">
        <v>46</v>
      </c>
      <c r="D137" s="21">
        <v>0.25</v>
      </c>
      <c r="E137" s="21">
        <v>20</v>
      </c>
      <c r="F137" s="21">
        <v>0</v>
      </c>
      <c r="G137" s="21">
        <v>42</v>
      </c>
      <c r="H137" s="22">
        <v>360.15</v>
      </c>
      <c r="I137" s="23">
        <v>10</v>
      </c>
    </row>
    <row r="138" spans="1:9" ht="25.5" x14ac:dyDescent="0.25">
      <c r="A138" s="17" t="s">
        <v>45</v>
      </c>
      <c r="B138" s="17" t="s">
        <v>65</v>
      </c>
      <c r="C138" s="17" t="s">
        <v>46</v>
      </c>
      <c r="D138" s="17">
        <v>0.25</v>
      </c>
      <c r="E138" s="17">
        <v>20</v>
      </c>
      <c r="F138" s="17">
        <v>1</v>
      </c>
      <c r="G138" s="17">
        <v>43</v>
      </c>
      <c r="H138" s="18">
        <v>360.15</v>
      </c>
      <c r="I138" s="19">
        <v>10</v>
      </c>
    </row>
    <row r="139" spans="1:9" ht="25.5" x14ac:dyDescent="0.25">
      <c r="A139" s="21" t="s">
        <v>45</v>
      </c>
      <c r="B139" s="21" t="s">
        <v>65</v>
      </c>
      <c r="C139" s="21" t="s">
        <v>46</v>
      </c>
      <c r="D139" s="21">
        <v>0.25</v>
      </c>
      <c r="E139" s="21">
        <v>20</v>
      </c>
      <c r="F139" s="21">
        <v>2</v>
      </c>
      <c r="G139" s="21">
        <v>44</v>
      </c>
      <c r="H139" s="22">
        <v>360.15</v>
      </c>
      <c r="I139" s="23">
        <v>10</v>
      </c>
    </row>
    <row r="140" spans="1:9" ht="25.5" x14ac:dyDescent="0.25">
      <c r="A140" s="17" t="s">
        <v>45</v>
      </c>
      <c r="B140" s="17" t="s">
        <v>65</v>
      </c>
      <c r="C140" s="17" t="s">
        <v>47</v>
      </c>
      <c r="D140" s="17">
        <v>0.25</v>
      </c>
      <c r="E140" s="17">
        <v>20</v>
      </c>
      <c r="F140" s="17">
        <v>0</v>
      </c>
      <c r="G140" s="17">
        <v>42</v>
      </c>
      <c r="H140" s="18">
        <v>355.72</v>
      </c>
      <c r="I140" s="19">
        <v>10.000999999999999</v>
      </c>
    </row>
    <row r="141" spans="1:9" ht="25.5" x14ac:dyDescent="0.25">
      <c r="A141" s="21" t="s">
        <v>45</v>
      </c>
      <c r="B141" s="21" t="s">
        <v>65</v>
      </c>
      <c r="C141" s="21" t="s">
        <v>47</v>
      </c>
      <c r="D141" s="21">
        <v>0.25</v>
      </c>
      <c r="E141" s="21">
        <v>20</v>
      </c>
      <c r="F141" s="21">
        <v>1</v>
      </c>
      <c r="G141" s="21">
        <v>43</v>
      </c>
      <c r="H141" s="22">
        <v>355.72</v>
      </c>
      <c r="I141" s="23">
        <v>10.000999999999999</v>
      </c>
    </row>
    <row r="142" spans="1:9" ht="25.5" x14ac:dyDescent="0.25">
      <c r="A142" s="17" t="s">
        <v>45</v>
      </c>
      <c r="B142" s="17" t="s">
        <v>65</v>
      </c>
      <c r="C142" s="17" t="s">
        <v>47</v>
      </c>
      <c r="D142" s="17">
        <v>0.25</v>
      </c>
      <c r="E142" s="17">
        <v>20</v>
      </c>
      <c r="F142" s="17">
        <v>2</v>
      </c>
      <c r="G142" s="17">
        <v>44</v>
      </c>
      <c r="H142" s="18">
        <v>355.72</v>
      </c>
      <c r="I142" s="19">
        <v>10</v>
      </c>
    </row>
    <row r="143" spans="1:9" ht="25.5" x14ac:dyDescent="0.25">
      <c r="A143" s="21" t="s">
        <v>45</v>
      </c>
      <c r="B143" s="21" t="s">
        <v>65</v>
      </c>
      <c r="C143" s="21" t="s">
        <v>48</v>
      </c>
      <c r="D143" s="21">
        <v>0.25</v>
      </c>
      <c r="E143" s="21">
        <v>20</v>
      </c>
      <c r="F143" s="21">
        <v>0</v>
      </c>
      <c r="G143" s="21">
        <v>42</v>
      </c>
      <c r="H143" s="22">
        <v>355.5</v>
      </c>
      <c r="I143" s="23">
        <v>10.000999999999999</v>
      </c>
    </row>
    <row r="144" spans="1:9" ht="25.5" x14ac:dyDescent="0.25">
      <c r="A144" s="17" t="s">
        <v>45</v>
      </c>
      <c r="B144" s="17" t="s">
        <v>65</v>
      </c>
      <c r="C144" s="17" t="s">
        <v>48</v>
      </c>
      <c r="D144" s="17">
        <v>0.25</v>
      </c>
      <c r="E144" s="17">
        <v>20</v>
      </c>
      <c r="F144" s="17">
        <v>1</v>
      </c>
      <c r="G144" s="17">
        <v>43</v>
      </c>
      <c r="H144" s="18">
        <v>355.5</v>
      </c>
      <c r="I144" s="19">
        <v>10.000999999999999</v>
      </c>
    </row>
    <row r="145" spans="1:9" ht="25.5" x14ac:dyDescent="0.25">
      <c r="A145" s="21" t="s">
        <v>45</v>
      </c>
      <c r="B145" s="21" t="s">
        <v>65</v>
      </c>
      <c r="C145" s="21" t="s">
        <v>48</v>
      </c>
      <c r="D145" s="21">
        <v>0.25</v>
      </c>
      <c r="E145" s="21">
        <v>20</v>
      </c>
      <c r="F145" s="21">
        <v>2</v>
      </c>
      <c r="G145" s="21">
        <v>44</v>
      </c>
      <c r="H145" s="22">
        <v>355.5</v>
      </c>
      <c r="I145" s="23">
        <v>10.000999999999999</v>
      </c>
    </row>
    <row r="146" spans="1:9" ht="25.5" x14ac:dyDescent="0.25">
      <c r="A146" s="17" t="s">
        <v>45</v>
      </c>
      <c r="B146" s="17" t="s">
        <v>65</v>
      </c>
      <c r="C146" s="17" t="s">
        <v>49</v>
      </c>
      <c r="D146" s="17">
        <v>0.25</v>
      </c>
      <c r="E146" s="17">
        <v>20</v>
      </c>
      <c r="F146" s="17">
        <v>0</v>
      </c>
      <c r="G146" s="17">
        <v>42</v>
      </c>
      <c r="H146" s="18">
        <v>354.25</v>
      </c>
      <c r="I146" s="19">
        <v>10</v>
      </c>
    </row>
    <row r="147" spans="1:9" ht="25.5" x14ac:dyDescent="0.25">
      <c r="A147" s="21" t="s">
        <v>45</v>
      </c>
      <c r="B147" s="21" t="s">
        <v>65</v>
      </c>
      <c r="C147" s="21" t="s">
        <v>49</v>
      </c>
      <c r="D147" s="21">
        <v>0.25</v>
      </c>
      <c r="E147" s="21">
        <v>20</v>
      </c>
      <c r="F147" s="21">
        <v>1</v>
      </c>
      <c r="G147" s="21">
        <v>43</v>
      </c>
      <c r="H147" s="22">
        <v>354.25</v>
      </c>
      <c r="I147" s="23">
        <v>10</v>
      </c>
    </row>
    <row r="148" spans="1:9" ht="25.5" x14ac:dyDescent="0.25">
      <c r="A148" s="17" t="s">
        <v>45</v>
      </c>
      <c r="B148" s="17" t="s">
        <v>65</v>
      </c>
      <c r="C148" s="17" t="s">
        <v>49</v>
      </c>
      <c r="D148" s="17">
        <v>0.25</v>
      </c>
      <c r="E148" s="17">
        <v>20</v>
      </c>
      <c r="F148" s="17">
        <v>2</v>
      </c>
      <c r="G148" s="17">
        <v>44</v>
      </c>
      <c r="H148" s="18">
        <v>354.25</v>
      </c>
      <c r="I148" s="19">
        <v>10.000999999999999</v>
      </c>
    </row>
    <row r="149" spans="1:9" ht="25.5" x14ac:dyDescent="0.25">
      <c r="A149" s="21" t="s">
        <v>45</v>
      </c>
      <c r="B149" s="21" t="s">
        <v>65</v>
      </c>
      <c r="C149" s="21" t="s">
        <v>50</v>
      </c>
      <c r="D149" s="21">
        <v>0.25</v>
      </c>
      <c r="E149" s="21">
        <v>20</v>
      </c>
      <c r="F149" s="21">
        <v>0</v>
      </c>
      <c r="G149" s="21">
        <v>42</v>
      </c>
      <c r="H149" s="22">
        <v>356.06</v>
      </c>
      <c r="I149" s="23">
        <v>10</v>
      </c>
    </row>
    <row r="150" spans="1:9" ht="25.5" x14ac:dyDescent="0.25">
      <c r="A150" s="17" t="s">
        <v>45</v>
      </c>
      <c r="B150" s="17" t="s">
        <v>65</v>
      </c>
      <c r="C150" s="17" t="s">
        <v>50</v>
      </c>
      <c r="D150" s="17">
        <v>0.25</v>
      </c>
      <c r="E150" s="17">
        <v>20</v>
      </c>
      <c r="F150" s="17">
        <v>1</v>
      </c>
      <c r="G150" s="17">
        <v>43</v>
      </c>
      <c r="H150" s="18">
        <v>356.06</v>
      </c>
      <c r="I150" s="19">
        <v>10.000999999999999</v>
      </c>
    </row>
    <row r="151" spans="1:9" ht="25.5" x14ac:dyDescent="0.25">
      <c r="A151" s="21" t="s">
        <v>45</v>
      </c>
      <c r="B151" s="21" t="s">
        <v>65</v>
      </c>
      <c r="C151" s="21" t="s">
        <v>50</v>
      </c>
      <c r="D151" s="21">
        <v>0.25</v>
      </c>
      <c r="E151" s="21">
        <v>20</v>
      </c>
      <c r="F151" s="21">
        <v>2</v>
      </c>
      <c r="G151" s="21">
        <v>44</v>
      </c>
      <c r="H151" s="22">
        <v>356.06</v>
      </c>
      <c r="I151" s="23">
        <v>10.000999999999999</v>
      </c>
    </row>
    <row r="152" spans="1:9" ht="25.5" x14ac:dyDescent="0.25">
      <c r="A152" s="17" t="s">
        <v>45</v>
      </c>
      <c r="B152" s="17" t="s">
        <v>65</v>
      </c>
      <c r="C152" s="17" t="s">
        <v>46</v>
      </c>
      <c r="D152" s="17">
        <v>0.25</v>
      </c>
      <c r="E152" s="17">
        <v>25</v>
      </c>
      <c r="F152" s="17">
        <v>0</v>
      </c>
      <c r="G152" s="17">
        <v>42</v>
      </c>
      <c r="H152" s="18">
        <v>360.15</v>
      </c>
      <c r="I152" s="19">
        <v>10.000999999999999</v>
      </c>
    </row>
    <row r="153" spans="1:9" ht="25.5" x14ac:dyDescent="0.25">
      <c r="A153" s="21" t="s">
        <v>45</v>
      </c>
      <c r="B153" s="21" t="s">
        <v>65</v>
      </c>
      <c r="C153" s="21" t="s">
        <v>46</v>
      </c>
      <c r="D153" s="21">
        <v>0.25</v>
      </c>
      <c r="E153" s="21">
        <v>25</v>
      </c>
      <c r="F153" s="21">
        <v>1</v>
      </c>
      <c r="G153" s="21">
        <v>43</v>
      </c>
      <c r="H153" s="22">
        <v>360.15</v>
      </c>
      <c r="I153" s="23">
        <v>10.000999999999999</v>
      </c>
    </row>
    <row r="154" spans="1:9" ht="25.5" x14ac:dyDescent="0.25">
      <c r="A154" s="17" t="s">
        <v>45</v>
      </c>
      <c r="B154" s="17" t="s">
        <v>65</v>
      </c>
      <c r="C154" s="17" t="s">
        <v>46</v>
      </c>
      <c r="D154" s="17">
        <v>0.25</v>
      </c>
      <c r="E154" s="17">
        <v>25</v>
      </c>
      <c r="F154" s="17">
        <v>2</v>
      </c>
      <c r="G154" s="17">
        <v>44</v>
      </c>
      <c r="H154" s="18">
        <v>360.15</v>
      </c>
      <c r="I154" s="19">
        <v>10</v>
      </c>
    </row>
    <row r="155" spans="1:9" ht="25.5" x14ac:dyDescent="0.25">
      <c r="A155" s="21" t="s">
        <v>45</v>
      </c>
      <c r="B155" s="21" t="s">
        <v>65</v>
      </c>
      <c r="C155" s="21" t="s">
        <v>47</v>
      </c>
      <c r="D155" s="21">
        <v>0.25</v>
      </c>
      <c r="E155" s="21">
        <v>25</v>
      </c>
      <c r="F155" s="21">
        <v>0</v>
      </c>
      <c r="G155" s="21">
        <v>42</v>
      </c>
      <c r="H155" s="22">
        <v>355.72</v>
      </c>
      <c r="I155" s="23">
        <v>10.000999999999999</v>
      </c>
    </row>
    <row r="156" spans="1:9" ht="25.5" x14ac:dyDescent="0.25">
      <c r="A156" s="17" t="s">
        <v>45</v>
      </c>
      <c r="B156" s="17" t="s">
        <v>65</v>
      </c>
      <c r="C156" s="17" t="s">
        <v>47</v>
      </c>
      <c r="D156" s="17">
        <v>0.25</v>
      </c>
      <c r="E156" s="17">
        <v>25</v>
      </c>
      <c r="F156" s="17">
        <v>1</v>
      </c>
      <c r="G156" s="17">
        <v>43</v>
      </c>
      <c r="H156" s="18">
        <v>355.72</v>
      </c>
      <c r="I156" s="19">
        <v>10</v>
      </c>
    </row>
    <row r="157" spans="1:9" ht="25.5" x14ac:dyDescent="0.25">
      <c r="A157" s="21" t="s">
        <v>45</v>
      </c>
      <c r="B157" s="21" t="s">
        <v>65</v>
      </c>
      <c r="C157" s="21" t="s">
        <v>47</v>
      </c>
      <c r="D157" s="21">
        <v>0.25</v>
      </c>
      <c r="E157" s="21">
        <v>25</v>
      </c>
      <c r="F157" s="21">
        <v>2</v>
      </c>
      <c r="G157" s="21">
        <v>44</v>
      </c>
      <c r="H157" s="22">
        <v>355.72</v>
      </c>
      <c r="I157" s="23">
        <v>10.000999999999999</v>
      </c>
    </row>
    <row r="158" spans="1:9" ht="25.5" x14ac:dyDescent="0.25">
      <c r="A158" s="17" t="s">
        <v>45</v>
      </c>
      <c r="B158" s="17" t="s">
        <v>65</v>
      </c>
      <c r="C158" s="17" t="s">
        <v>48</v>
      </c>
      <c r="D158" s="17">
        <v>0.25</v>
      </c>
      <c r="E158" s="17">
        <v>25</v>
      </c>
      <c r="F158" s="17">
        <v>0</v>
      </c>
      <c r="G158" s="17">
        <v>42</v>
      </c>
      <c r="H158" s="18">
        <v>355.5</v>
      </c>
      <c r="I158" s="19">
        <v>10.000999999999999</v>
      </c>
    </row>
    <row r="159" spans="1:9" ht="25.5" x14ac:dyDescent="0.25">
      <c r="A159" s="21" t="s">
        <v>45</v>
      </c>
      <c r="B159" s="21" t="s">
        <v>65</v>
      </c>
      <c r="C159" s="21" t="s">
        <v>48</v>
      </c>
      <c r="D159" s="21">
        <v>0.25</v>
      </c>
      <c r="E159" s="21">
        <v>25</v>
      </c>
      <c r="F159" s="21">
        <v>1</v>
      </c>
      <c r="G159" s="21">
        <v>43</v>
      </c>
      <c r="H159" s="22">
        <v>355.5</v>
      </c>
      <c r="I159" s="23">
        <v>10</v>
      </c>
    </row>
    <row r="160" spans="1:9" ht="25.5" x14ac:dyDescent="0.25">
      <c r="A160" s="17" t="s">
        <v>45</v>
      </c>
      <c r="B160" s="17" t="s">
        <v>65</v>
      </c>
      <c r="C160" s="17" t="s">
        <v>48</v>
      </c>
      <c r="D160" s="17">
        <v>0.25</v>
      </c>
      <c r="E160" s="17">
        <v>25</v>
      </c>
      <c r="F160" s="17">
        <v>2</v>
      </c>
      <c r="G160" s="17">
        <v>44</v>
      </c>
      <c r="H160" s="18">
        <v>355.5</v>
      </c>
      <c r="I160" s="19">
        <v>10.000999999999999</v>
      </c>
    </row>
    <row r="161" spans="1:9" ht="25.5" x14ac:dyDescent="0.25">
      <c r="A161" s="21" t="s">
        <v>45</v>
      </c>
      <c r="B161" s="21" t="s">
        <v>65</v>
      </c>
      <c r="C161" s="21" t="s">
        <v>49</v>
      </c>
      <c r="D161" s="21">
        <v>0.25</v>
      </c>
      <c r="E161" s="21">
        <v>25</v>
      </c>
      <c r="F161" s="21">
        <v>0</v>
      </c>
      <c r="G161" s="21">
        <v>42</v>
      </c>
      <c r="H161" s="22">
        <v>354.25</v>
      </c>
      <c r="I161" s="23">
        <v>10.000999999999999</v>
      </c>
    </row>
    <row r="162" spans="1:9" ht="25.5" x14ac:dyDescent="0.25">
      <c r="A162" s="17" t="s">
        <v>45</v>
      </c>
      <c r="B162" s="17" t="s">
        <v>65</v>
      </c>
      <c r="C162" s="17" t="s">
        <v>49</v>
      </c>
      <c r="D162" s="17">
        <v>0.25</v>
      </c>
      <c r="E162" s="17">
        <v>25</v>
      </c>
      <c r="F162" s="17">
        <v>1</v>
      </c>
      <c r="G162" s="17">
        <v>43</v>
      </c>
      <c r="H162" s="18">
        <v>354.25</v>
      </c>
      <c r="I162" s="19">
        <v>10.000999999999999</v>
      </c>
    </row>
    <row r="163" spans="1:9" ht="25.5" x14ac:dyDescent="0.25">
      <c r="A163" s="21" t="s">
        <v>45</v>
      </c>
      <c r="B163" s="21" t="s">
        <v>65</v>
      </c>
      <c r="C163" s="21" t="s">
        <v>49</v>
      </c>
      <c r="D163" s="21">
        <v>0.25</v>
      </c>
      <c r="E163" s="21">
        <v>25</v>
      </c>
      <c r="F163" s="21">
        <v>2</v>
      </c>
      <c r="G163" s="21">
        <v>44</v>
      </c>
      <c r="H163" s="22">
        <v>354.25</v>
      </c>
      <c r="I163" s="23">
        <v>10</v>
      </c>
    </row>
    <row r="164" spans="1:9" ht="25.5" x14ac:dyDescent="0.25">
      <c r="A164" s="17" t="s">
        <v>45</v>
      </c>
      <c r="B164" s="17" t="s">
        <v>65</v>
      </c>
      <c r="C164" s="17" t="s">
        <v>50</v>
      </c>
      <c r="D164" s="17">
        <v>0.25</v>
      </c>
      <c r="E164" s="17">
        <v>25</v>
      </c>
      <c r="F164" s="17">
        <v>0</v>
      </c>
      <c r="G164" s="17">
        <v>42</v>
      </c>
      <c r="H164" s="18">
        <v>356.06</v>
      </c>
      <c r="I164" s="19">
        <v>10</v>
      </c>
    </row>
    <row r="165" spans="1:9" ht="25.5" x14ac:dyDescent="0.25">
      <c r="A165" s="21" t="s">
        <v>45</v>
      </c>
      <c r="B165" s="21" t="s">
        <v>65</v>
      </c>
      <c r="C165" s="21" t="s">
        <v>50</v>
      </c>
      <c r="D165" s="21">
        <v>0.25</v>
      </c>
      <c r="E165" s="21">
        <v>25</v>
      </c>
      <c r="F165" s="21">
        <v>1</v>
      </c>
      <c r="G165" s="21">
        <v>43</v>
      </c>
      <c r="H165" s="22">
        <v>352.59</v>
      </c>
      <c r="I165" s="23">
        <v>10.000999999999999</v>
      </c>
    </row>
    <row r="166" spans="1:9" ht="25.5" x14ac:dyDescent="0.25">
      <c r="A166" s="17" t="s">
        <v>45</v>
      </c>
      <c r="B166" s="17" t="s">
        <v>65</v>
      </c>
      <c r="C166" s="17" t="s">
        <v>50</v>
      </c>
      <c r="D166" s="17">
        <v>0.25</v>
      </c>
      <c r="E166" s="17">
        <v>25</v>
      </c>
      <c r="F166" s="17">
        <v>2</v>
      </c>
      <c r="G166" s="17">
        <v>44</v>
      </c>
      <c r="H166" s="18">
        <v>356.06</v>
      </c>
      <c r="I166" s="19">
        <v>10.000999999999999</v>
      </c>
    </row>
    <row r="167" spans="1:9" ht="25.5" x14ac:dyDescent="0.25">
      <c r="A167" s="21" t="s">
        <v>45</v>
      </c>
      <c r="B167" s="21" t="s">
        <v>65</v>
      </c>
      <c r="C167" s="21" t="s">
        <v>46</v>
      </c>
      <c r="D167" s="21">
        <v>0.25</v>
      </c>
      <c r="E167" s="21">
        <v>30</v>
      </c>
      <c r="F167" s="21">
        <v>0</v>
      </c>
      <c r="G167" s="21">
        <v>42</v>
      </c>
      <c r="H167" s="22">
        <v>360.15</v>
      </c>
      <c r="I167" s="23">
        <v>10</v>
      </c>
    </row>
    <row r="168" spans="1:9" ht="25.5" x14ac:dyDescent="0.25">
      <c r="A168" s="17" t="s">
        <v>45</v>
      </c>
      <c r="B168" s="17" t="s">
        <v>65</v>
      </c>
      <c r="C168" s="17" t="s">
        <v>46</v>
      </c>
      <c r="D168" s="17">
        <v>0.25</v>
      </c>
      <c r="E168" s="17">
        <v>30</v>
      </c>
      <c r="F168" s="17">
        <v>1</v>
      </c>
      <c r="G168" s="17">
        <v>43</v>
      </c>
      <c r="H168" s="18">
        <v>360.15</v>
      </c>
      <c r="I168" s="19">
        <v>10.000999999999999</v>
      </c>
    </row>
    <row r="169" spans="1:9" ht="25.5" x14ac:dyDescent="0.25">
      <c r="A169" s="21" t="s">
        <v>45</v>
      </c>
      <c r="B169" s="21" t="s">
        <v>65</v>
      </c>
      <c r="C169" s="21" t="s">
        <v>46</v>
      </c>
      <c r="D169" s="21">
        <v>0.25</v>
      </c>
      <c r="E169" s="21">
        <v>30</v>
      </c>
      <c r="F169" s="21">
        <v>2</v>
      </c>
      <c r="G169" s="21">
        <v>44</v>
      </c>
      <c r="H169" s="22">
        <v>360.15</v>
      </c>
      <c r="I169" s="23">
        <v>10</v>
      </c>
    </row>
    <row r="170" spans="1:9" ht="25.5" x14ac:dyDescent="0.25">
      <c r="A170" s="17" t="s">
        <v>45</v>
      </c>
      <c r="B170" s="17" t="s">
        <v>65</v>
      </c>
      <c r="C170" s="17" t="s">
        <v>47</v>
      </c>
      <c r="D170" s="17">
        <v>0.25</v>
      </c>
      <c r="E170" s="17">
        <v>30</v>
      </c>
      <c r="F170" s="17">
        <v>0</v>
      </c>
      <c r="G170" s="17">
        <v>42</v>
      </c>
      <c r="H170" s="18">
        <v>355.72</v>
      </c>
      <c r="I170" s="19">
        <v>10.000999999999999</v>
      </c>
    </row>
    <row r="171" spans="1:9" ht="25.5" x14ac:dyDescent="0.25">
      <c r="A171" s="21" t="s">
        <v>45</v>
      </c>
      <c r="B171" s="21" t="s">
        <v>65</v>
      </c>
      <c r="C171" s="21" t="s">
        <v>47</v>
      </c>
      <c r="D171" s="21">
        <v>0.25</v>
      </c>
      <c r="E171" s="21">
        <v>30</v>
      </c>
      <c r="F171" s="21">
        <v>1</v>
      </c>
      <c r="G171" s="21">
        <v>43</v>
      </c>
      <c r="H171" s="22">
        <v>355.72</v>
      </c>
      <c r="I171" s="23">
        <v>10</v>
      </c>
    </row>
    <row r="172" spans="1:9" ht="25.5" x14ac:dyDescent="0.25">
      <c r="A172" s="17" t="s">
        <v>45</v>
      </c>
      <c r="B172" s="17" t="s">
        <v>65</v>
      </c>
      <c r="C172" s="17" t="s">
        <v>47</v>
      </c>
      <c r="D172" s="17">
        <v>0.25</v>
      </c>
      <c r="E172" s="17">
        <v>30</v>
      </c>
      <c r="F172" s="17">
        <v>2</v>
      </c>
      <c r="G172" s="17">
        <v>44</v>
      </c>
      <c r="H172" s="18">
        <v>355.72</v>
      </c>
      <c r="I172" s="19">
        <v>10</v>
      </c>
    </row>
    <row r="173" spans="1:9" ht="25.5" x14ac:dyDescent="0.25">
      <c r="A173" s="21" t="s">
        <v>45</v>
      </c>
      <c r="B173" s="21" t="s">
        <v>65</v>
      </c>
      <c r="C173" s="21" t="s">
        <v>48</v>
      </c>
      <c r="D173" s="21">
        <v>0.25</v>
      </c>
      <c r="E173" s="21">
        <v>30</v>
      </c>
      <c r="F173" s="21">
        <v>0</v>
      </c>
      <c r="G173" s="21">
        <v>42</v>
      </c>
      <c r="H173" s="22">
        <v>355.5</v>
      </c>
      <c r="I173" s="23">
        <v>10.000999999999999</v>
      </c>
    </row>
    <row r="174" spans="1:9" ht="25.5" x14ac:dyDescent="0.25">
      <c r="A174" s="17" t="s">
        <v>45</v>
      </c>
      <c r="B174" s="17" t="s">
        <v>65</v>
      </c>
      <c r="C174" s="17" t="s">
        <v>48</v>
      </c>
      <c r="D174" s="17">
        <v>0.25</v>
      </c>
      <c r="E174" s="17">
        <v>30</v>
      </c>
      <c r="F174" s="17">
        <v>1</v>
      </c>
      <c r="G174" s="17">
        <v>43</v>
      </c>
      <c r="H174" s="18">
        <v>355.5</v>
      </c>
      <c r="I174" s="19">
        <v>10</v>
      </c>
    </row>
    <row r="175" spans="1:9" ht="25.5" x14ac:dyDescent="0.25">
      <c r="A175" s="21" t="s">
        <v>45</v>
      </c>
      <c r="B175" s="21" t="s">
        <v>65</v>
      </c>
      <c r="C175" s="21" t="s">
        <v>48</v>
      </c>
      <c r="D175" s="21">
        <v>0.25</v>
      </c>
      <c r="E175" s="21">
        <v>30</v>
      </c>
      <c r="F175" s="21">
        <v>2</v>
      </c>
      <c r="G175" s="21">
        <v>44</v>
      </c>
      <c r="H175" s="22">
        <v>355.5</v>
      </c>
      <c r="I175" s="23">
        <v>10.000999999999999</v>
      </c>
    </row>
    <row r="176" spans="1:9" ht="25.5" x14ac:dyDescent="0.25">
      <c r="A176" s="17" t="s">
        <v>45</v>
      </c>
      <c r="B176" s="17" t="s">
        <v>65</v>
      </c>
      <c r="C176" s="17" t="s">
        <v>49</v>
      </c>
      <c r="D176" s="17">
        <v>0.25</v>
      </c>
      <c r="E176" s="17">
        <v>30</v>
      </c>
      <c r="F176" s="17">
        <v>0</v>
      </c>
      <c r="G176" s="17">
        <v>42</v>
      </c>
      <c r="H176" s="18">
        <v>354.25</v>
      </c>
      <c r="I176" s="19">
        <v>10</v>
      </c>
    </row>
    <row r="177" spans="1:9" ht="25.5" x14ac:dyDescent="0.25">
      <c r="A177" s="21" t="s">
        <v>45</v>
      </c>
      <c r="B177" s="21" t="s">
        <v>65</v>
      </c>
      <c r="C177" s="21" t="s">
        <v>49</v>
      </c>
      <c r="D177" s="21">
        <v>0.25</v>
      </c>
      <c r="E177" s="21">
        <v>30</v>
      </c>
      <c r="F177" s="21">
        <v>1</v>
      </c>
      <c r="G177" s="21">
        <v>43</v>
      </c>
      <c r="H177" s="22">
        <v>354.25</v>
      </c>
      <c r="I177" s="23">
        <v>10</v>
      </c>
    </row>
    <row r="178" spans="1:9" ht="25.5" x14ac:dyDescent="0.25">
      <c r="A178" s="17" t="s">
        <v>45</v>
      </c>
      <c r="B178" s="17" t="s">
        <v>65</v>
      </c>
      <c r="C178" s="17" t="s">
        <v>49</v>
      </c>
      <c r="D178" s="17">
        <v>0.25</v>
      </c>
      <c r="E178" s="17">
        <v>30</v>
      </c>
      <c r="F178" s="17">
        <v>2</v>
      </c>
      <c r="G178" s="17">
        <v>44</v>
      </c>
      <c r="H178" s="18">
        <v>354.25</v>
      </c>
      <c r="I178" s="19">
        <v>10.000999999999999</v>
      </c>
    </row>
    <row r="179" spans="1:9" ht="25.5" x14ac:dyDescent="0.25">
      <c r="A179" s="21" t="s">
        <v>45</v>
      </c>
      <c r="B179" s="21" t="s">
        <v>65</v>
      </c>
      <c r="C179" s="21" t="s">
        <v>50</v>
      </c>
      <c r="D179" s="21">
        <v>0.25</v>
      </c>
      <c r="E179" s="21">
        <v>30</v>
      </c>
      <c r="F179" s="21">
        <v>0</v>
      </c>
      <c r="G179" s="21">
        <v>42</v>
      </c>
      <c r="H179" s="22">
        <v>356.06</v>
      </c>
      <c r="I179" s="23">
        <v>10.000999999999999</v>
      </c>
    </row>
    <row r="180" spans="1:9" ht="25.5" x14ac:dyDescent="0.25">
      <c r="A180" s="17" t="s">
        <v>45</v>
      </c>
      <c r="B180" s="17" t="s">
        <v>65</v>
      </c>
      <c r="C180" s="17" t="s">
        <v>50</v>
      </c>
      <c r="D180" s="17">
        <v>0.25</v>
      </c>
      <c r="E180" s="17">
        <v>30</v>
      </c>
      <c r="F180" s="17">
        <v>1</v>
      </c>
      <c r="G180" s="17">
        <v>43</v>
      </c>
      <c r="H180" s="18">
        <v>356.06</v>
      </c>
      <c r="I180" s="19">
        <v>10.000999999999999</v>
      </c>
    </row>
    <row r="181" spans="1:9" ht="25.5" x14ac:dyDescent="0.25">
      <c r="A181" s="21" t="s">
        <v>45</v>
      </c>
      <c r="B181" s="21" t="s">
        <v>65</v>
      </c>
      <c r="C181" s="21" t="s">
        <v>50</v>
      </c>
      <c r="D181" s="21">
        <v>0.25</v>
      </c>
      <c r="E181" s="21">
        <v>30</v>
      </c>
      <c r="F181" s="21">
        <v>2</v>
      </c>
      <c r="G181" s="21">
        <v>44</v>
      </c>
      <c r="H181" s="22">
        <v>356.06</v>
      </c>
      <c r="I181" s="23">
        <v>10</v>
      </c>
    </row>
    <row r="182" spans="1:9" ht="25.5" x14ac:dyDescent="0.25">
      <c r="A182" s="17" t="s">
        <v>52</v>
      </c>
      <c r="B182" s="17" t="s">
        <v>64</v>
      </c>
      <c r="C182" s="17" t="s">
        <v>53</v>
      </c>
      <c r="D182" s="17">
        <v>0.1</v>
      </c>
      <c r="E182" s="17">
        <v>15</v>
      </c>
      <c r="F182" s="17">
        <v>0</v>
      </c>
      <c r="G182" s="17">
        <v>42</v>
      </c>
      <c r="H182" s="18">
        <v>7720.25</v>
      </c>
      <c r="I182" s="19">
        <v>10.023</v>
      </c>
    </row>
    <row r="183" spans="1:9" ht="25.5" x14ac:dyDescent="0.25">
      <c r="A183" s="21" t="s">
        <v>52</v>
      </c>
      <c r="B183" s="21" t="s">
        <v>64</v>
      </c>
      <c r="C183" s="21" t="s">
        <v>53</v>
      </c>
      <c r="D183" s="21">
        <v>0.1</v>
      </c>
      <c r="E183" s="21">
        <v>15</v>
      </c>
      <c r="F183" s="21">
        <v>1</v>
      </c>
      <c r="G183" s="21">
        <v>43</v>
      </c>
      <c r="H183" s="22">
        <v>7656.42</v>
      </c>
      <c r="I183" s="23">
        <v>10.015000000000001</v>
      </c>
    </row>
    <row r="184" spans="1:9" ht="25.5" x14ac:dyDescent="0.25">
      <c r="A184" s="17" t="s">
        <v>52</v>
      </c>
      <c r="B184" s="17" t="s">
        <v>64</v>
      </c>
      <c r="C184" s="17" t="s">
        <v>53</v>
      </c>
      <c r="D184" s="17">
        <v>0.1</v>
      </c>
      <c r="E184" s="17">
        <v>15</v>
      </c>
      <c r="F184" s="17">
        <v>2</v>
      </c>
      <c r="G184" s="17">
        <v>44</v>
      </c>
      <c r="H184" s="18">
        <v>7642.02</v>
      </c>
      <c r="I184" s="19">
        <v>10.032</v>
      </c>
    </row>
    <row r="185" spans="1:9" ht="25.5" x14ac:dyDescent="0.25">
      <c r="A185" s="21" t="s">
        <v>52</v>
      </c>
      <c r="B185" s="21" t="s">
        <v>64</v>
      </c>
      <c r="C185" s="21" t="s">
        <v>54</v>
      </c>
      <c r="D185" s="21">
        <v>0.1</v>
      </c>
      <c r="E185" s="21">
        <v>15</v>
      </c>
      <c r="F185" s="21">
        <v>0</v>
      </c>
      <c r="G185" s="21">
        <v>42</v>
      </c>
      <c r="H185" s="22">
        <v>7640.12</v>
      </c>
      <c r="I185" s="23">
        <v>10.044</v>
      </c>
    </row>
    <row r="186" spans="1:9" ht="25.5" x14ac:dyDescent="0.25">
      <c r="A186" s="17" t="s">
        <v>52</v>
      </c>
      <c r="B186" s="17" t="s">
        <v>64</v>
      </c>
      <c r="C186" s="17" t="s">
        <v>54</v>
      </c>
      <c r="D186" s="17">
        <v>0.1</v>
      </c>
      <c r="E186" s="17">
        <v>15</v>
      </c>
      <c r="F186" s="17">
        <v>1</v>
      </c>
      <c r="G186" s="17">
        <v>43</v>
      </c>
      <c r="H186" s="18">
        <v>7696.55</v>
      </c>
      <c r="I186" s="19">
        <v>10.042999999999999</v>
      </c>
    </row>
    <row r="187" spans="1:9" ht="25.5" x14ac:dyDescent="0.25">
      <c r="A187" s="21" t="s">
        <v>52</v>
      </c>
      <c r="B187" s="21" t="s">
        <v>64</v>
      </c>
      <c r="C187" s="21" t="s">
        <v>54</v>
      </c>
      <c r="D187" s="21">
        <v>0.1</v>
      </c>
      <c r="E187" s="21">
        <v>15</v>
      </c>
      <c r="F187" s="21">
        <v>2</v>
      </c>
      <c r="G187" s="21">
        <v>44</v>
      </c>
      <c r="H187" s="22">
        <v>7624.14</v>
      </c>
      <c r="I187" s="23">
        <v>10.022</v>
      </c>
    </row>
    <row r="188" spans="1:9" ht="25.5" x14ac:dyDescent="0.25">
      <c r="A188" s="17" t="s">
        <v>52</v>
      </c>
      <c r="B188" s="17" t="s">
        <v>64</v>
      </c>
      <c r="C188" s="17" t="s">
        <v>55</v>
      </c>
      <c r="D188" s="17">
        <v>0.1</v>
      </c>
      <c r="E188" s="17">
        <v>15</v>
      </c>
      <c r="F188" s="17">
        <v>0</v>
      </c>
      <c r="G188" s="17">
        <v>42</v>
      </c>
      <c r="H188" s="18">
        <v>7652.25</v>
      </c>
      <c r="I188" s="19">
        <v>10.036</v>
      </c>
    </row>
    <row r="189" spans="1:9" ht="25.5" x14ac:dyDescent="0.25">
      <c r="A189" s="21" t="s">
        <v>52</v>
      </c>
      <c r="B189" s="21" t="s">
        <v>64</v>
      </c>
      <c r="C189" s="21" t="s">
        <v>55</v>
      </c>
      <c r="D189" s="21">
        <v>0.1</v>
      </c>
      <c r="E189" s="21">
        <v>15</v>
      </c>
      <c r="F189" s="21">
        <v>1</v>
      </c>
      <c r="G189" s="21">
        <v>43</v>
      </c>
      <c r="H189" s="22">
        <v>7660.66</v>
      </c>
      <c r="I189" s="23">
        <v>10.055999999999999</v>
      </c>
    </row>
    <row r="190" spans="1:9" ht="25.5" x14ac:dyDescent="0.25">
      <c r="A190" s="17" t="s">
        <v>52</v>
      </c>
      <c r="B190" s="17" t="s">
        <v>64</v>
      </c>
      <c r="C190" s="17" t="s">
        <v>55</v>
      </c>
      <c r="D190" s="17">
        <v>0.1</v>
      </c>
      <c r="E190" s="17">
        <v>15</v>
      </c>
      <c r="F190" s="17">
        <v>2</v>
      </c>
      <c r="G190" s="17">
        <v>44</v>
      </c>
      <c r="H190" s="18">
        <v>7700.44</v>
      </c>
      <c r="I190" s="19">
        <v>10.019</v>
      </c>
    </row>
    <row r="191" spans="1:9" ht="25.5" x14ac:dyDescent="0.25">
      <c r="A191" s="21" t="s">
        <v>52</v>
      </c>
      <c r="B191" s="21" t="s">
        <v>64</v>
      </c>
      <c r="C191" s="21" t="s">
        <v>56</v>
      </c>
      <c r="D191" s="21">
        <v>0.1</v>
      </c>
      <c r="E191" s="21">
        <v>15</v>
      </c>
      <c r="F191" s="21">
        <v>0</v>
      </c>
      <c r="G191" s="21">
        <v>42</v>
      </c>
      <c r="H191" s="22">
        <v>7716.31</v>
      </c>
      <c r="I191" s="23">
        <v>10.048</v>
      </c>
    </row>
    <row r="192" spans="1:9" ht="25.5" x14ac:dyDescent="0.25">
      <c r="A192" s="17" t="s">
        <v>52</v>
      </c>
      <c r="B192" s="17" t="s">
        <v>64</v>
      </c>
      <c r="C192" s="17" t="s">
        <v>56</v>
      </c>
      <c r="D192" s="17">
        <v>0.1</v>
      </c>
      <c r="E192" s="17">
        <v>15</v>
      </c>
      <c r="F192" s="17">
        <v>1</v>
      </c>
      <c r="G192" s="17">
        <v>43</v>
      </c>
      <c r="H192" s="18">
        <v>7681.79</v>
      </c>
      <c r="I192" s="19">
        <v>10.007</v>
      </c>
    </row>
    <row r="193" spans="1:9" ht="25.5" x14ac:dyDescent="0.25">
      <c r="A193" s="21" t="s">
        <v>52</v>
      </c>
      <c r="B193" s="21" t="s">
        <v>64</v>
      </c>
      <c r="C193" s="21" t="s">
        <v>56</v>
      </c>
      <c r="D193" s="21">
        <v>0.1</v>
      </c>
      <c r="E193" s="21">
        <v>15</v>
      </c>
      <c r="F193" s="21">
        <v>2</v>
      </c>
      <c r="G193" s="21">
        <v>44</v>
      </c>
      <c r="H193" s="22">
        <v>7725.68</v>
      </c>
      <c r="I193" s="23">
        <v>10.019</v>
      </c>
    </row>
    <row r="194" spans="1:9" ht="25.5" x14ac:dyDescent="0.25">
      <c r="A194" s="17" t="s">
        <v>52</v>
      </c>
      <c r="B194" s="17" t="s">
        <v>64</v>
      </c>
      <c r="C194" s="17" t="s">
        <v>57</v>
      </c>
      <c r="D194" s="17">
        <v>0.1</v>
      </c>
      <c r="E194" s="17">
        <v>15</v>
      </c>
      <c r="F194" s="17">
        <v>0</v>
      </c>
      <c r="G194" s="17">
        <v>42</v>
      </c>
      <c r="H194" s="18">
        <v>7638.92</v>
      </c>
      <c r="I194" s="19">
        <v>10.013999999999999</v>
      </c>
    </row>
    <row r="195" spans="1:9" ht="25.5" x14ac:dyDescent="0.25">
      <c r="A195" s="21" t="s">
        <v>52</v>
      </c>
      <c r="B195" s="21" t="s">
        <v>64</v>
      </c>
      <c r="C195" s="21" t="s">
        <v>57</v>
      </c>
      <c r="D195" s="21">
        <v>0.1</v>
      </c>
      <c r="E195" s="21">
        <v>15</v>
      </c>
      <c r="F195" s="21">
        <v>1</v>
      </c>
      <c r="G195" s="21">
        <v>43</v>
      </c>
      <c r="H195" s="22">
        <v>7630.49</v>
      </c>
      <c r="I195" s="23">
        <v>10.022</v>
      </c>
    </row>
    <row r="196" spans="1:9" ht="25.5" x14ac:dyDescent="0.25">
      <c r="A196" s="17" t="s">
        <v>52</v>
      </c>
      <c r="B196" s="17" t="s">
        <v>64</v>
      </c>
      <c r="C196" s="17" t="s">
        <v>57</v>
      </c>
      <c r="D196" s="17">
        <v>0.1</v>
      </c>
      <c r="E196" s="17">
        <v>15</v>
      </c>
      <c r="F196" s="17">
        <v>2</v>
      </c>
      <c r="G196" s="17">
        <v>44</v>
      </c>
      <c r="H196" s="18">
        <v>7710.71</v>
      </c>
      <c r="I196" s="19">
        <v>10.034000000000001</v>
      </c>
    </row>
    <row r="197" spans="1:9" ht="25.5" x14ac:dyDescent="0.25">
      <c r="A197" s="21" t="s">
        <v>52</v>
      </c>
      <c r="B197" s="21" t="s">
        <v>64</v>
      </c>
      <c r="C197" s="21" t="s">
        <v>53</v>
      </c>
      <c r="D197" s="21">
        <v>0.25</v>
      </c>
      <c r="E197" s="21">
        <v>15</v>
      </c>
      <c r="F197" s="21">
        <v>0</v>
      </c>
      <c r="G197" s="21">
        <v>42</v>
      </c>
      <c r="H197" s="22">
        <v>7692.59</v>
      </c>
      <c r="I197" s="23">
        <v>10.039</v>
      </c>
    </row>
    <row r="198" spans="1:9" ht="25.5" x14ac:dyDescent="0.25">
      <c r="A198" s="17" t="s">
        <v>52</v>
      </c>
      <c r="B198" s="17" t="s">
        <v>64</v>
      </c>
      <c r="C198" s="17" t="s">
        <v>53</v>
      </c>
      <c r="D198" s="17">
        <v>0.25</v>
      </c>
      <c r="E198" s="17">
        <v>15</v>
      </c>
      <c r="F198" s="17">
        <v>1</v>
      </c>
      <c r="G198" s="17">
        <v>43</v>
      </c>
      <c r="H198" s="18">
        <v>7638.66</v>
      </c>
      <c r="I198" s="19">
        <v>10.038</v>
      </c>
    </row>
    <row r="199" spans="1:9" ht="25.5" x14ac:dyDescent="0.25">
      <c r="A199" s="21" t="s">
        <v>52</v>
      </c>
      <c r="B199" s="21" t="s">
        <v>64</v>
      </c>
      <c r="C199" s="21" t="s">
        <v>53</v>
      </c>
      <c r="D199" s="21">
        <v>0.25</v>
      </c>
      <c r="E199" s="21">
        <v>15</v>
      </c>
      <c r="F199" s="21">
        <v>2</v>
      </c>
      <c r="G199" s="21">
        <v>44</v>
      </c>
      <c r="H199" s="22">
        <v>7688.02</v>
      </c>
      <c r="I199" s="23">
        <v>10.047000000000001</v>
      </c>
    </row>
    <row r="200" spans="1:9" ht="25.5" x14ac:dyDescent="0.25">
      <c r="A200" s="17" t="s">
        <v>52</v>
      </c>
      <c r="B200" s="17" t="s">
        <v>64</v>
      </c>
      <c r="C200" s="17" t="s">
        <v>54</v>
      </c>
      <c r="D200" s="17">
        <v>0.25</v>
      </c>
      <c r="E200" s="17">
        <v>15</v>
      </c>
      <c r="F200" s="17">
        <v>0</v>
      </c>
      <c r="G200" s="17">
        <v>42</v>
      </c>
      <c r="H200" s="18">
        <v>7685.23</v>
      </c>
      <c r="I200" s="19">
        <v>10.012</v>
      </c>
    </row>
    <row r="201" spans="1:9" ht="25.5" x14ac:dyDescent="0.25">
      <c r="A201" s="21" t="s">
        <v>52</v>
      </c>
      <c r="B201" s="21" t="s">
        <v>64</v>
      </c>
      <c r="C201" s="21" t="s">
        <v>54</v>
      </c>
      <c r="D201" s="21">
        <v>0.25</v>
      </c>
      <c r="E201" s="21">
        <v>15</v>
      </c>
      <c r="F201" s="21">
        <v>1</v>
      </c>
      <c r="G201" s="21">
        <v>43</v>
      </c>
      <c r="H201" s="22">
        <v>7710.07</v>
      </c>
      <c r="I201" s="23">
        <v>10.044</v>
      </c>
    </row>
    <row r="202" spans="1:9" ht="25.5" x14ac:dyDescent="0.25">
      <c r="A202" s="17" t="s">
        <v>52</v>
      </c>
      <c r="B202" s="17" t="s">
        <v>64</v>
      </c>
      <c r="C202" s="17" t="s">
        <v>54</v>
      </c>
      <c r="D202" s="17">
        <v>0.25</v>
      </c>
      <c r="E202" s="17">
        <v>15</v>
      </c>
      <c r="F202" s="17">
        <v>2</v>
      </c>
      <c r="G202" s="17">
        <v>44</v>
      </c>
      <c r="H202" s="18">
        <v>7634.55</v>
      </c>
      <c r="I202" s="19">
        <v>10.006</v>
      </c>
    </row>
    <row r="203" spans="1:9" ht="25.5" x14ac:dyDescent="0.25">
      <c r="A203" s="21" t="s">
        <v>52</v>
      </c>
      <c r="B203" s="21" t="s">
        <v>64</v>
      </c>
      <c r="C203" s="21" t="s">
        <v>55</v>
      </c>
      <c r="D203" s="21">
        <v>0.25</v>
      </c>
      <c r="E203" s="21">
        <v>15</v>
      </c>
      <c r="F203" s="21">
        <v>0</v>
      </c>
      <c r="G203" s="21">
        <v>42</v>
      </c>
      <c r="H203" s="22">
        <v>7692.24</v>
      </c>
      <c r="I203" s="23">
        <v>10.02</v>
      </c>
    </row>
    <row r="204" spans="1:9" ht="25.5" x14ac:dyDescent="0.25">
      <c r="A204" s="17" t="s">
        <v>52</v>
      </c>
      <c r="B204" s="17" t="s">
        <v>64</v>
      </c>
      <c r="C204" s="17" t="s">
        <v>55</v>
      </c>
      <c r="D204" s="17">
        <v>0.25</v>
      </c>
      <c r="E204" s="17">
        <v>15</v>
      </c>
      <c r="F204" s="17">
        <v>1</v>
      </c>
      <c r="G204" s="17">
        <v>43</v>
      </c>
      <c r="H204" s="18">
        <v>7674.6</v>
      </c>
      <c r="I204" s="19">
        <v>10.032</v>
      </c>
    </row>
    <row r="205" spans="1:9" ht="25.5" x14ac:dyDescent="0.25">
      <c r="A205" s="21" t="s">
        <v>52</v>
      </c>
      <c r="B205" s="21" t="s">
        <v>64</v>
      </c>
      <c r="C205" s="21" t="s">
        <v>55</v>
      </c>
      <c r="D205" s="21">
        <v>0.25</v>
      </c>
      <c r="E205" s="21">
        <v>15</v>
      </c>
      <c r="F205" s="21">
        <v>2</v>
      </c>
      <c r="G205" s="21">
        <v>44</v>
      </c>
      <c r="H205" s="22">
        <v>7645.36</v>
      </c>
      <c r="I205" s="23">
        <v>10.013999999999999</v>
      </c>
    </row>
    <row r="206" spans="1:9" ht="25.5" x14ac:dyDescent="0.25">
      <c r="A206" s="17" t="s">
        <v>52</v>
      </c>
      <c r="B206" s="17" t="s">
        <v>64</v>
      </c>
      <c r="C206" s="17" t="s">
        <v>56</v>
      </c>
      <c r="D206" s="17">
        <v>0.25</v>
      </c>
      <c r="E206" s="17">
        <v>15</v>
      </c>
      <c r="F206" s="17">
        <v>0</v>
      </c>
      <c r="G206" s="17">
        <v>42</v>
      </c>
      <c r="H206" s="18">
        <v>7658.79</v>
      </c>
      <c r="I206" s="19">
        <v>10.048999999999999</v>
      </c>
    </row>
    <row r="207" spans="1:9" ht="25.5" x14ac:dyDescent="0.25">
      <c r="A207" s="21" t="s">
        <v>52</v>
      </c>
      <c r="B207" s="21" t="s">
        <v>64</v>
      </c>
      <c r="C207" s="21" t="s">
        <v>56</v>
      </c>
      <c r="D207" s="21">
        <v>0.25</v>
      </c>
      <c r="E207" s="21">
        <v>15</v>
      </c>
      <c r="F207" s="21">
        <v>1</v>
      </c>
      <c r="G207" s="21">
        <v>43</v>
      </c>
      <c r="H207" s="22">
        <v>7692.83</v>
      </c>
      <c r="I207" s="23">
        <v>10.018000000000001</v>
      </c>
    </row>
    <row r="208" spans="1:9" ht="25.5" x14ac:dyDescent="0.25">
      <c r="A208" s="17" t="s">
        <v>52</v>
      </c>
      <c r="B208" s="17" t="s">
        <v>64</v>
      </c>
      <c r="C208" s="17" t="s">
        <v>56</v>
      </c>
      <c r="D208" s="17">
        <v>0.25</v>
      </c>
      <c r="E208" s="17">
        <v>15</v>
      </c>
      <c r="F208" s="17">
        <v>2</v>
      </c>
      <c r="G208" s="17">
        <v>44</v>
      </c>
      <c r="H208" s="18">
        <v>7705.62</v>
      </c>
      <c r="I208" s="19">
        <v>10.026999999999999</v>
      </c>
    </row>
    <row r="209" spans="1:9" ht="25.5" x14ac:dyDescent="0.25">
      <c r="A209" s="21" t="s">
        <v>52</v>
      </c>
      <c r="B209" s="21" t="s">
        <v>64</v>
      </c>
      <c r="C209" s="21" t="s">
        <v>57</v>
      </c>
      <c r="D209" s="21">
        <v>0.25</v>
      </c>
      <c r="E209" s="21">
        <v>15</v>
      </c>
      <c r="F209" s="21">
        <v>0</v>
      </c>
      <c r="G209" s="21">
        <v>42</v>
      </c>
      <c r="H209" s="22">
        <v>7722.02</v>
      </c>
      <c r="I209" s="23">
        <v>10.047000000000001</v>
      </c>
    </row>
    <row r="210" spans="1:9" ht="25.5" x14ac:dyDescent="0.25">
      <c r="A210" s="17" t="s">
        <v>52</v>
      </c>
      <c r="B210" s="17" t="s">
        <v>64</v>
      </c>
      <c r="C210" s="17" t="s">
        <v>57</v>
      </c>
      <c r="D210" s="17">
        <v>0.25</v>
      </c>
      <c r="E210" s="17">
        <v>15</v>
      </c>
      <c r="F210" s="17">
        <v>1</v>
      </c>
      <c r="G210" s="17">
        <v>43</v>
      </c>
      <c r="H210" s="18">
        <v>7723.99</v>
      </c>
      <c r="I210" s="19">
        <v>10.047000000000001</v>
      </c>
    </row>
    <row r="211" spans="1:9" ht="25.5" x14ac:dyDescent="0.25">
      <c r="A211" s="21" t="s">
        <v>52</v>
      </c>
      <c r="B211" s="21" t="s">
        <v>64</v>
      </c>
      <c r="C211" s="21" t="s">
        <v>57</v>
      </c>
      <c r="D211" s="21">
        <v>0.25</v>
      </c>
      <c r="E211" s="21">
        <v>15</v>
      </c>
      <c r="F211" s="21">
        <v>2</v>
      </c>
      <c r="G211" s="21">
        <v>44</v>
      </c>
      <c r="H211" s="22">
        <v>7692.15</v>
      </c>
      <c r="I211" s="23">
        <v>10.045999999999999</v>
      </c>
    </row>
    <row r="212" spans="1:9" ht="25.5" x14ac:dyDescent="0.25">
      <c r="A212" s="17" t="s">
        <v>52</v>
      </c>
      <c r="B212" s="17" t="s">
        <v>64</v>
      </c>
      <c r="C212" s="17" t="s">
        <v>53</v>
      </c>
      <c r="D212" s="17">
        <v>0.5</v>
      </c>
      <c r="E212" s="17">
        <v>15</v>
      </c>
      <c r="F212" s="17">
        <v>0</v>
      </c>
      <c r="G212" s="17">
        <v>42</v>
      </c>
      <c r="H212" s="18">
        <v>7728.36</v>
      </c>
      <c r="I212" s="19">
        <v>10.029999999999999</v>
      </c>
    </row>
    <row r="213" spans="1:9" ht="25.5" x14ac:dyDescent="0.25">
      <c r="A213" s="21" t="s">
        <v>52</v>
      </c>
      <c r="B213" s="21" t="s">
        <v>64</v>
      </c>
      <c r="C213" s="21" t="s">
        <v>53</v>
      </c>
      <c r="D213" s="21">
        <v>0.5</v>
      </c>
      <c r="E213" s="21">
        <v>15</v>
      </c>
      <c r="F213" s="21">
        <v>1</v>
      </c>
      <c r="G213" s="21">
        <v>43</v>
      </c>
      <c r="H213" s="22">
        <v>7641.14</v>
      </c>
      <c r="I213" s="23">
        <v>10.026</v>
      </c>
    </row>
    <row r="214" spans="1:9" ht="25.5" x14ac:dyDescent="0.25">
      <c r="A214" s="17" t="s">
        <v>52</v>
      </c>
      <c r="B214" s="17" t="s">
        <v>64</v>
      </c>
      <c r="C214" s="17" t="s">
        <v>53</v>
      </c>
      <c r="D214" s="17">
        <v>0.5</v>
      </c>
      <c r="E214" s="17">
        <v>15</v>
      </c>
      <c r="F214" s="17">
        <v>2</v>
      </c>
      <c r="G214" s="17">
        <v>44</v>
      </c>
      <c r="H214" s="18">
        <v>7632.04</v>
      </c>
      <c r="I214" s="19">
        <v>10.041</v>
      </c>
    </row>
    <row r="215" spans="1:9" ht="25.5" x14ac:dyDescent="0.25">
      <c r="A215" s="21" t="s">
        <v>52</v>
      </c>
      <c r="B215" s="21" t="s">
        <v>64</v>
      </c>
      <c r="C215" s="21" t="s">
        <v>54</v>
      </c>
      <c r="D215" s="21">
        <v>0.5</v>
      </c>
      <c r="E215" s="21">
        <v>15</v>
      </c>
      <c r="F215" s="21">
        <v>0</v>
      </c>
      <c r="G215" s="21">
        <v>42</v>
      </c>
      <c r="H215" s="22">
        <v>7646.78</v>
      </c>
      <c r="I215" s="23">
        <v>10.039999999999999</v>
      </c>
    </row>
    <row r="216" spans="1:9" ht="25.5" x14ac:dyDescent="0.25">
      <c r="A216" s="17" t="s">
        <v>52</v>
      </c>
      <c r="B216" s="17" t="s">
        <v>64</v>
      </c>
      <c r="C216" s="17" t="s">
        <v>54</v>
      </c>
      <c r="D216" s="17">
        <v>0.5</v>
      </c>
      <c r="E216" s="17">
        <v>15</v>
      </c>
      <c r="F216" s="17">
        <v>1</v>
      </c>
      <c r="G216" s="17">
        <v>43</v>
      </c>
      <c r="H216" s="18">
        <v>7618.51</v>
      </c>
      <c r="I216" s="19">
        <v>10.031000000000001</v>
      </c>
    </row>
    <row r="217" spans="1:9" ht="25.5" x14ac:dyDescent="0.25">
      <c r="A217" s="21" t="s">
        <v>52</v>
      </c>
      <c r="B217" s="21" t="s">
        <v>64</v>
      </c>
      <c r="C217" s="21" t="s">
        <v>54</v>
      </c>
      <c r="D217" s="21">
        <v>0.5</v>
      </c>
      <c r="E217" s="21">
        <v>15</v>
      </c>
      <c r="F217" s="21">
        <v>2</v>
      </c>
      <c r="G217" s="21">
        <v>44</v>
      </c>
      <c r="H217" s="22">
        <v>7648.01</v>
      </c>
      <c r="I217" s="23">
        <v>10.016999999999999</v>
      </c>
    </row>
    <row r="218" spans="1:9" ht="25.5" x14ac:dyDescent="0.25">
      <c r="A218" s="17" t="s">
        <v>52</v>
      </c>
      <c r="B218" s="17" t="s">
        <v>64</v>
      </c>
      <c r="C218" s="17" t="s">
        <v>55</v>
      </c>
      <c r="D218" s="17">
        <v>0.5</v>
      </c>
      <c r="E218" s="17">
        <v>15</v>
      </c>
      <c r="F218" s="17">
        <v>0</v>
      </c>
      <c r="G218" s="17">
        <v>42</v>
      </c>
      <c r="H218" s="18">
        <v>7658.42</v>
      </c>
      <c r="I218" s="19">
        <v>10.01</v>
      </c>
    </row>
    <row r="219" spans="1:9" ht="25.5" x14ac:dyDescent="0.25">
      <c r="A219" s="21" t="s">
        <v>52</v>
      </c>
      <c r="B219" s="21" t="s">
        <v>64</v>
      </c>
      <c r="C219" s="21" t="s">
        <v>55</v>
      </c>
      <c r="D219" s="21">
        <v>0.5</v>
      </c>
      <c r="E219" s="21">
        <v>15</v>
      </c>
      <c r="F219" s="21">
        <v>1</v>
      </c>
      <c r="G219" s="21">
        <v>43</v>
      </c>
      <c r="H219" s="22">
        <v>7682.09</v>
      </c>
      <c r="I219" s="23">
        <v>10.042999999999999</v>
      </c>
    </row>
    <row r="220" spans="1:9" ht="25.5" x14ac:dyDescent="0.25">
      <c r="A220" s="17" t="s">
        <v>52</v>
      </c>
      <c r="B220" s="17" t="s">
        <v>64</v>
      </c>
      <c r="C220" s="17" t="s">
        <v>55</v>
      </c>
      <c r="D220" s="17">
        <v>0.5</v>
      </c>
      <c r="E220" s="17">
        <v>15</v>
      </c>
      <c r="F220" s="17">
        <v>2</v>
      </c>
      <c r="G220" s="17">
        <v>44</v>
      </c>
      <c r="H220" s="18">
        <v>7658.21</v>
      </c>
      <c r="I220" s="19">
        <v>10.048999999999999</v>
      </c>
    </row>
    <row r="221" spans="1:9" ht="25.5" x14ac:dyDescent="0.25">
      <c r="A221" s="21" t="s">
        <v>52</v>
      </c>
      <c r="B221" s="21" t="s">
        <v>64</v>
      </c>
      <c r="C221" s="21" t="s">
        <v>56</v>
      </c>
      <c r="D221" s="21">
        <v>0.5</v>
      </c>
      <c r="E221" s="21">
        <v>15</v>
      </c>
      <c r="F221" s="21">
        <v>0</v>
      </c>
      <c r="G221" s="21">
        <v>42</v>
      </c>
      <c r="H221" s="22">
        <v>7707.48</v>
      </c>
      <c r="I221" s="23">
        <v>10.038</v>
      </c>
    </row>
    <row r="222" spans="1:9" ht="25.5" x14ac:dyDescent="0.25">
      <c r="A222" s="17" t="s">
        <v>52</v>
      </c>
      <c r="B222" s="17" t="s">
        <v>64</v>
      </c>
      <c r="C222" s="17" t="s">
        <v>56</v>
      </c>
      <c r="D222" s="17">
        <v>0.5</v>
      </c>
      <c r="E222" s="17">
        <v>15</v>
      </c>
      <c r="F222" s="17">
        <v>1</v>
      </c>
      <c r="G222" s="17">
        <v>43</v>
      </c>
      <c r="H222" s="18">
        <v>7619.5</v>
      </c>
      <c r="I222" s="19">
        <v>10.044</v>
      </c>
    </row>
    <row r="223" spans="1:9" ht="25.5" x14ac:dyDescent="0.25">
      <c r="A223" s="21" t="s">
        <v>52</v>
      </c>
      <c r="B223" s="21" t="s">
        <v>64</v>
      </c>
      <c r="C223" s="21" t="s">
        <v>56</v>
      </c>
      <c r="D223" s="21">
        <v>0.5</v>
      </c>
      <c r="E223" s="21">
        <v>15</v>
      </c>
      <c r="F223" s="21">
        <v>2</v>
      </c>
      <c r="G223" s="21">
        <v>44</v>
      </c>
      <c r="H223" s="22">
        <v>7657.16</v>
      </c>
      <c r="I223" s="23">
        <v>10.023</v>
      </c>
    </row>
    <row r="224" spans="1:9" ht="25.5" x14ac:dyDescent="0.25">
      <c r="A224" s="17" t="s">
        <v>52</v>
      </c>
      <c r="B224" s="17" t="s">
        <v>64</v>
      </c>
      <c r="C224" s="17" t="s">
        <v>57</v>
      </c>
      <c r="D224" s="17">
        <v>0.5</v>
      </c>
      <c r="E224" s="17">
        <v>15</v>
      </c>
      <c r="F224" s="17">
        <v>0</v>
      </c>
      <c r="G224" s="17">
        <v>42</v>
      </c>
      <c r="H224" s="18">
        <v>7733.08</v>
      </c>
      <c r="I224" s="19">
        <v>10.012</v>
      </c>
    </row>
    <row r="225" spans="1:9" ht="25.5" x14ac:dyDescent="0.25">
      <c r="A225" s="21" t="s">
        <v>52</v>
      </c>
      <c r="B225" s="21" t="s">
        <v>64</v>
      </c>
      <c r="C225" s="21" t="s">
        <v>57</v>
      </c>
      <c r="D225" s="21">
        <v>0.5</v>
      </c>
      <c r="E225" s="21">
        <v>15</v>
      </c>
      <c r="F225" s="21">
        <v>1</v>
      </c>
      <c r="G225" s="21">
        <v>43</v>
      </c>
      <c r="H225" s="22">
        <v>7723.13</v>
      </c>
      <c r="I225" s="23">
        <v>10.013999999999999</v>
      </c>
    </row>
    <row r="226" spans="1:9" ht="25.5" x14ac:dyDescent="0.25">
      <c r="A226" s="17" t="s">
        <v>52</v>
      </c>
      <c r="B226" s="17" t="s">
        <v>64</v>
      </c>
      <c r="C226" s="17" t="s">
        <v>57</v>
      </c>
      <c r="D226" s="17">
        <v>0.5</v>
      </c>
      <c r="E226" s="17">
        <v>15</v>
      </c>
      <c r="F226" s="17">
        <v>2</v>
      </c>
      <c r="G226" s="17">
        <v>44</v>
      </c>
      <c r="H226" s="18">
        <v>7696.77</v>
      </c>
      <c r="I226" s="19">
        <v>10.041</v>
      </c>
    </row>
    <row r="227" spans="1:9" ht="25.5" x14ac:dyDescent="0.25">
      <c r="A227" s="21" t="s">
        <v>52</v>
      </c>
      <c r="B227" s="21" t="s">
        <v>64</v>
      </c>
      <c r="C227" s="21" t="s">
        <v>53</v>
      </c>
      <c r="D227" s="21">
        <v>0.75</v>
      </c>
      <c r="E227" s="21">
        <v>15</v>
      </c>
      <c r="F227" s="21">
        <v>0</v>
      </c>
      <c r="G227" s="21">
        <v>42</v>
      </c>
      <c r="H227" s="22">
        <v>7663.04</v>
      </c>
      <c r="I227" s="23">
        <v>10.044</v>
      </c>
    </row>
    <row r="228" spans="1:9" ht="25.5" x14ac:dyDescent="0.25">
      <c r="A228" s="17" t="s">
        <v>52</v>
      </c>
      <c r="B228" s="17" t="s">
        <v>64</v>
      </c>
      <c r="C228" s="17" t="s">
        <v>53</v>
      </c>
      <c r="D228" s="17">
        <v>0.75</v>
      </c>
      <c r="E228" s="17">
        <v>15</v>
      </c>
      <c r="F228" s="17">
        <v>1</v>
      </c>
      <c r="G228" s="17">
        <v>43</v>
      </c>
      <c r="H228" s="18">
        <v>7648.43</v>
      </c>
      <c r="I228" s="19">
        <v>10.028</v>
      </c>
    </row>
    <row r="229" spans="1:9" ht="25.5" x14ac:dyDescent="0.25">
      <c r="A229" s="21" t="s">
        <v>52</v>
      </c>
      <c r="B229" s="21" t="s">
        <v>64</v>
      </c>
      <c r="C229" s="21" t="s">
        <v>53</v>
      </c>
      <c r="D229" s="21">
        <v>0.75</v>
      </c>
      <c r="E229" s="21">
        <v>15</v>
      </c>
      <c r="F229" s="21">
        <v>2</v>
      </c>
      <c r="G229" s="21">
        <v>44</v>
      </c>
      <c r="H229" s="22">
        <v>7684.11</v>
      </c>
      <c r="I229" s="23">
        <v>10.007</v>
      </c>
    </row>
    <row r="230" spans="1:9" ht="25.5" x14ac:dyDescent="0.25">
      <c r="A230" s="17" t="s">
        <v>52</v>
      </c>
      <c r="B230" s="17" t="s">
        <v>64</v>
      </c>
      <c r="C230" s="17" t="s">
        <v>54</v>
      </c>
      <c r="D230" s="17">
        <v>0.75</v>
      </c>
      <c r="E230" s="17">
        <v>15</v>
      </c>
      <c r="F230" s="17">
        <v>0</v>
      </c>
      <c r="G230" s="17">
        <v>42</v>
      </c>
      <c r="H230" s="18">
        <v>7646.69</v>
      </c>
      <c r="I230" s="19">
        <v>10.018000000000001</v>
      </c>
    </row>
    <row r="231" spans="1:9" ht="25.5" x14ac:dyDescent="0.25">
      <c r="A231" s="21" t="s">
        <v>52</v>
      </c>
      <c r="B231" s="21" t="s">
        <v>64</v>
      </c>
      <c r="C231" s="21" t="s">
        <v>54</v>
      </c>
      <c r="D231" s="21">
        <v>0.75</v>
      </c>
      <c r="E231" s="21">
        <v>15</v>
      </c>
      <c r="F231" s="21">
        <v>1</v>
      </c>
      <c r="G231" s="21">
        <v>43</v>
      </c>
      <c r="H231" s="22">
        <v>7649.87</v>
      </c>
      <c r="I231" s="23">
        <v>10.048999999999999</v>
      </c>
    </row>
    <row r="232" spans="1:9" ht="25.5" x14ac:dyDescent="0.25">
      <c r="A232" s="17" t="s">
        <v>52</v>
      </c>
      <c r="B232" s="17" t="s">
        <v>64</v>
      </c>
      <c r="C232" s="17" t="s">
        <v>54</v>
      </c>
      <c r="D232" s="17">
        <v>0.75</v>
      </c>
      <c r="E232" s="17">
        <v>15</v>
      </c>
      <c r="F232" s="17">
        <v>2</v>
      </c>
      <c r="G232" s="17">
        <v>44</v>
      </c>
      <c r="H232" s="18">
        <v>7690.92</v>
      </c>
      <c r="I232" s="19">
        <v>10.051</v>
      </c>
    </row>
    <row r="233" spans="1:9" ht="25.5" x14ac:dyDescent="0.25">
      <c r="A233" s="21" t="s">
        <v>52</v>
      </c>
      <c r="B233" s="21" t="s">
        <v>64</v>
      </c>
      <c r="C233" s="21" t="s">
        <v>55</v>
      </c>
      <c r="D233" s="21">
        <v>0.75</v>
      </c>
      <c r="E233" s="21">
        <v>15</v>
      </c>
      <c r="F233" s="21">
        <v>0</v>
      </c>
      <c r="G233" s="21">
        <v>42</v>
      </c>
      <c r="H233" s="22">
        <v>7665.39</v>
      </c>
      <c r="I233" s="23">
        <v>10.005000000000001</v>
      </c>
    </row>
    <row r="234" spans="1:9" ht="25.5" x14ac:dyDescent="0.25">
      <c r="A234" s="17" t="s">
        <v>52</v>
      </c>
      <c r="B234" s="17" t="s">
        <v>64</v>
      </c>
      <c r="C234" s="17" t="s">
        <v>55</v>
      </c>
      <c r="D234" s="17">
        <v>0.75</v>
      </c>
      <c r="E234" s="17">
        <v>15</v>
      </c>
      <c r="F234" s="17">
        <v>1</v>
      </c>
      <c r="G234" s="17">
        <v>43</v>
      </c>
      <c r="H234" s="18">
        <v>7675.35</v>
      </c>
      <c r="I234" s="19">
        <v>10.028</v>
      </c>
    </row>
    <row r="235" spans="1:9" ht="25.5" x14ac:dyDescent="0.25">
      <c r="A235" s="21" t="s">
        <v>52</v>
      </c>
      <c r="B235" s="21" t="s">
        <v>64</v>
      </c>
      <c r="C235" s="21" t="s">
        <v>55</v>
      </c>
      <c r="D235" s="21">
        <v>0.75</v>
      </c>
      <c r="E235" s="21">
        <v>15</v>
      </c>
      <c r="F235" s="21">
        <v>2</v>
      </c>
      <c r="G235" s="21">
        <v>44</v>
      </c>
      <c r="H235" s="22">
        <v>7749.3</v>
      </c>
      <c r="I235" s="23">
        <v>10.037000000000001</v>
      </c>
    </row>
    <row r="236" spans="1:9" ht="25.5" x14ac:dyDescent="0.25">
      <c r="A236" s="17" t="s">
        <v>52</v>
      </c>
      <c r="B236" s="17" t="s">
        <v>64</v>
      </c>
      <c r="C236" s="17" t="s">
        <v>56</v>
      </c>
      <c r="D236" s="17">
        <v>0.75</v>
      </c>
      <c r="E236" s="17">
        <v>15</v>
      </c>
      <c r="F236" s="17">
        <v>0</v>
      </c>
      <c r="G236" s="17">
        <v>42</v>
      </c>
      <c r="H236" s="18">
        <v>7735.93</v>
      </c>
      <c r="I236" s="19">
        <v>10.042</v>
      </c>
    </row>
    <row r="237" spans="1:9" ht="25.5" x14ac:dyDescent="0.25">
      <c r="A237" s="21" t="s">
        <v>52</v>
      </c>
      <c r="B237" s="21" t="s">
        <v>64</v>
      </c>
      <c r="C237" s="21" t="s">
        <v>56</v>
      </c>
      <c r="D237" s="21">
        <v>0.75</v>
      </c>
      <c r="E237" s="21">
        <v>15</v>
      </c>
      <c r="F237" s="21">
        <v>1</v>
      </c>
      <c r="G237" s="21">
        <v>43</v>
      </c>
      <c r="H237" s="22">
        <v>7690.96</v>
      </c>
      <c r="I237" s="23">
        <v>10.02</v>
      </c>
    </row>
    <row r="238" spans="1:9" ht="25.5" x14ac:dyDescent="0.25">
      <c r="A238" s="17" t="s">
        <v>52</v>
      </c>
      <c r="B238" s="17" t="s">
        <v>64</v>
      </c>
      <c r="C238" s="17" t="s">
        <v>56</v>
      </c>
      <c r="D238" s="17">
        <v>0.75</v>
      </c>
      <c r="E238" s="17">
        <v>15</v>
      </c>
      <c r="F238" s="17">
        <v>2</v>
      </c>
      <c r="G238" s="17">
        <v>44</v>
      </c>
      <c r="H238" s="18">
        <v>7706.48</v>
      </c>
      <c r="I238" s="19">
        <v>10.026</v>
      </c>
    </row>
    <row r="239" spans="1:9" ht="25.5" x14ac:dyDescent="0.25">
      <c r="A239" s="21" t="s">
        <v>52</v>
      </c>
      <c r="B239" s="21" t="s">
        <v>64</v>
      </c>
      <c r="C239" s="21" t="s">
        <v>57</v>
      </c>
      <c r="D239" s="21">
        <v>0.75</v>
      </c>
      <c r="E239" s="21">
        <v>15</v>
      </c>
      <c r="F239" s="21">
        <v>0</v>
      </c>
      <c r="G239" s="21">
        <v>42</v>
      </c>
      <c r="H239" s="22">
        <v>7707.9</v>
      </c>
      <c r="I239" s="23">
        <v>10.038</v>
      </c>
    </row>
    <row r="240" spans="1:9" ht="25.5" x14ac:dyDescent="0.25">
      <c r="A240" s="17" t="s">
        <v>52</v>
      </c>
      <c r="B240" s="17" t="s">
        <v>64</v>
      </c>
      <c r="C240" s="17" t="s">
        <v>57</v>
      </c>
      <c r="D240" s="17">
        <v>0.75</v>
      </c>
      <c r="E240" s="17">
        <v>15</v>
      </c>
      <c r="F240" s="17">
        <v>1</v>
      </c>
      <c r="G240" s="17">
        <v>43</v>
      </c>
      <c r="H240" s="18">
        <v>7720.29</v>
      </c>
      <c r="I240" s="19">
        <v>10.009</v>
      </c>
    </row>
    <row r="241" spans="1:9" ht="25.5" x14ac:dyDescent="0.25">
      <c r="A241" s="21" t="s">
        <v>52</v>
      </c>
      <c r="B241" s="21" t="s">
        <v>64</v>
      </c>
      <c r="C241" s="21" t="s">
        <v>57</v>
      </c>
      <c r="D241" s="21">
        <v>0.75</v>
      </c>
      <c r="E241" s="21">
        <v>15</v>
      </c>
      <c r="F241" s="21">
        <v>2</v>
      </c>
      <c r="G241" s="21">
        <v>44</v>
      </c>
      <c r="H241" s="22">
        <v>7701.16</v>
      </c>
      <c r="I241" s="23">
        <v>10.039999999999999</v>
      </c>
    </row>
    <row r="242" spans="1:9" ht="25.5" x14ac:dyDescent="0.25">
      <c r="A242" s="17" t="s">
        <v>52</v>
      </c>
      <c r="B242" s="17" t="s">
        <v>64</v>
      </c>
      <c r="C242" s="17" t="s">
        <v>53</v>
      </c>
      <c r="D242" s="17">
        <v>0.9</v>
      </c>
      <c r="E242" s="17">
        <v>15</v>
      </c>
      <c r="F242" s="17">
        <v>0</v>
      </c>
      <c r="G242" s="17">
        <v>42</v>
      </c>
      <c r="H242" s="18">
        <v>7649.89</v>
      </c>
      <c r="I242" s="19">
        <v>10.045999999999999</v>
      </c>
    </row>
    <row r="243" spans="1:9" ht="25.5" x14ac:dyDescent="0.25">
      <c r="A243" s="21" t="s">
        <v>52</v>
      </c>
      <c r="B243" s="21" t="s">
        <v>64</v>
      </c>
      <c r="C243" s="21" t="s">
        <v>53</v>
      </c>
      <c r="D243" s="21">
        <v>0.9</v>
      </c>
      <c r="E243" s="21">
        <v>15</v>
      </c>
      <c r="F243" s="21">
        <v>1</v>
      </c>
      <c r="G243" s="21">
        <v>43</v>
      </c>
      <c r="H243" s="22">
        <v>7756.24</v>
      </c>
      <c r="I243" s="23">
        <v>10.01</v>
      </c>
    </row>
    <row r="244" spans="1:9" ht="25.5" x14ac:dyDescent="0.25">
      <c r="A244" s="17" t="s">
        <v>52</v>
      </c>
      <c r="B244" s="17" t="s">
        <v>64</v>
      </c>
      <c r="C244" s="17" t="s">
        <v>53</v>
      </c>
      <c r="D244" s="17">
        <v>0.9</v>
      </c>
      <c r="E244" s="17">
        <v>15</v>
      </c>
      <c r="F244" s="17">
        <v>2</v>
      </c>
      <c r="G244" s="17">
        <v>44</v>
      </c>
      <c r="H244" s="18">
        <v>7709.91</v>
      </c>
      <c r="I244" s="19">
        <v>10.022</v>
      </c>
    </row>
    <row r="245" spans="1:9" ht="25.5" x14ac:dyDescent="0.25">
      <c r="A245" s="21" t="s">
        <v>52</v>
      </c>
      <c r="B245" s="21" t="s">
        <v>64</v>
      </c>
      <c r="C245" s="21" t="s">
        <v>54</v>
      </c>
      <c r="D245" s="21">
        <v>0.9</v>
      </c>
      <c r="E245" s="21">
        <v>15</v>
      </c>
      <c r="F245" s="21">
        <v>0</v>
      </c>
      <c r="G245" s="21">
        <v>42</v>
      </c>
      <c r="H245" s="22">
        <v>7662.45</v>
      </c>
      <c r="I245" s="23">
        <v>10.037000000000001</v>
      </c>
    </row>
    <row r="246" spans="1:9" ht="25.5" x14ac:dyDescent="0.25">
      <c r="A246" s="17" t="s">
        <v>52</v>
      </c>
      <c r="B246" s="17" t="s">
        <v>64</v>
      </c>
      <c r="C246" s="17" t="s">
        <v>54</v>
      </c>
      <c r="D246" s="17">
        <v>0.9</v>
      </c>
      <c r="E246" s="17">
        <v>15</v>
      </c>
      <c r="F246" s="17">
        <v>1</v>
      </c>
      <c r="G246" s="17">
        <v>43</v>
      </c>
      <c r="H246" s="18">
        <v>7755.23</v>
      </c>
      <c r="I246" s="19">
        <v>10.019</v>
      </c>
    </row>
    <row r="247" spans="1:9" ht="25.5" x14ac:dyDescent="0.25">
      <c r="A247" s="21" t="s">
        <v>52</v>
      </c>
      <c r="B247" s="21" t="s">
        <v>64</v>
      </c>
      <c r="C247" s="21" t="s">
        <v>54</v>
      </c>
      <c r="D247" s="21">
        <v>0.9</v>
      </c>
      <c r="E247" s="21">
        <v>15</v>
      </c>
      <c r="F247" s="21">
        <v>2</v>
      </c>
      <c r="G247" s="21">
        <v>44</v>
      </c>
      <c r="H247" s="22">
        <v>7610.7</v>
      </c>
      <c r="I247" s="23">
        <v>10.052</v>
      </c>
    </row>
    <row r="248" spans="1:9" ht="25.5" x14ac:dyDescent="0.25">
      <c r="A248" s="17" t="s">
        <v>52</v>
      </c>
      <c r="B248" s="17" t="s">
        <v>64</v>
      </c>
      <c r="C248" s="17" t="s">
        <v>55</v>
      </c>
      <c r="D248" s="17">
        <v>0.9</v>
      </c>
      <c r="E248" s="17">
        <v>15</v>
      </c>
      <c r="F248" s="17">
        <v>0</v>
      </c>
      <c r="G248" s="17">
        <v>42</v>
      </c>
      <c r="H248" s="18">
        <v>7726.58</v>
      </c>
      <c r="I248" s="19">
        <v>10.042999999999999</v>
      </c>
    </row>
    <row r="249" spans="1:9" ht="25.5" x14ac:dyDescent="0.25">
      <c r="A249" s="21" t="s">
        <v>52</v>
      </c>
      <c r="B249" s="21" t="s">
        <v>64</v>
      </c>
      <c r="C249" s="21" t="s">
        <v>55</v>
      </c>
      <c r="D249" s="21">
        <v>0.9</v>
      </c>
      <c r="E249" s="21">
        <v>15</v>
      </c>
      <c r="F249" s="21">
        <v>1</v>
      </c>
      <c r="G249" s="21">
        <v>43</v>
      </c>
      <c r="H249" s="22">
        <v>7682.77</v>
      </c>
      <c r="I249" s="23">
        <v>10.036</v>
      </c>
    </row>
    <row r="250" spans="1:9" ht="25.5" x14ac:dyDescent="0.25">
      <c r="A250" s="17" t="s">
        <v>52</v>
      </c>
      <c r="B250" s="17" t="s">
        <v>64</v>
      </c>
      <c r="C250" s="17" t="s">
        <v>55</v>
      </c>
      <c r="D250" s="17">
        <v>0.9</v>
      </c>
      <c r="E250" s="17">
        <v>15</v>
      </c>
      <c r="F250" s="17">
        <v>2</v>
      </c>
      <c r="G250" s="17">
        <v>44</v>
      </c>
      <c r="H250" s="18">
        <v>7638.54</v>
      </c>
      <c r="I250" s="19">
        <v>10.007999999999999</v>
      </c>
    </row>
    <row r="251" spans="1:9" ht="25.5" x14ac:dyDescent="0.25">
      <c r="A251" s="21" t="s">
        <v>52</v>
      </c>
      <c r="B251" s="21" t="s">
        <v>64</v>
      </c>
      <c r="C251" s="21" t="s">
        <v>56</v>
      </c>
      <c r="D251" s="21">
        <v>0.9</v>
      </c>
      <c r="E251" s="21">
        <v>15</v>
      </c>
      <c r="F251" s="21">
        <v>0</v>
      </c>
      <c r="G251" s="21">
        <v>42</v>
      </c>
      <c r="H251" s="22">
        <v>7711.79</v>
      </c>
      <c r="I251" s="23">
        <v>10.034000000000001</v>
      </c>
    </row>
    <row r="252" spans="1:9" ht="25.5" x14ac:dyDescent="0.25">
      <c r="A252" s="17" t="s">
        <v>52</v>
      </c>
      <c r="B252" s="17" t="s">
        <v>64</v>
      </c>
      <c r="C252" s="17" t="s">
        <v>56</v>
      </c>
      <c r="D252" s="17">
        <v>0.9</v>
      </c>
      <c r="E252" s="17">
        <v>15</v>
      </c>
      <c r="F252" s="17">
        <v>1</v>
      </c>
      <c r="G252" s="17">
        <v>43</v>
      </c>
      <c r="H252" s="18">
        <v>7696.73</v>
      </c>
      <c r="I252" s="19">
        <v>10.013999999999999</v>
      </c>
    </row>
    <row r="253" spans="1:9" ht="25.5" x14ac:dyDescent="0.25">
      <c r="A253" s="21" t="s">
        <v>52</v>
      </c>
      <c r="B253" s="21" t="s">
        <v>64</v>
      </c>
      <c r="C253" s="21" t="s">
        <v>56</v>
      </c>
      <c r="D253" s="21">
        <v>0.9</v>
      </c>
      <c r="E253" s="21">
        <v>15</v>
      </c>
      <c r="F253" s="21">
        <v>2</v>
      </c>
      <c r="G253" s="21">
        <v>44</v>
      </c>
      <c r="H253" s="22">
        <v>7642.04</v>
      </c>
      <c r="I253" s="23">
        <v>10.016999999999999</v>
      </c>
    </row>
    <row r="254" spans="1:9" ht="25.5" x14ac:dyDescent="0.25">
      <c r="A254" s="17" t="s">
        <v>52</v>
      </c>
      <c r="B254" s="17" t="s">
        <v>64</v>
      </c>
      <c r="C254" s="17" t="s">
        <v>57</v>
      </c>
      <c r="D254" s="17">
        <v>0.9</v>
      </c>
      <c r="E254" s="17">
        <v>15</v>
      </c>
      <c r="F254" s="17">
        <v>0</v>
      </c>
      <c r="G254" s="17">
        <v>42</v>
      </c>
      <c r="H254" s="18">
        <v>7765.68</v>
      </c>
      <c r="I254" s="19">
        <v>10.029999999999999</v>
      </c>
    </row>
    <row r="255" spans="1:9" ht="25.5" x14ac:dyDescent="0.25">
      <c r="A255" s="21" t="s">
        <v>52</v>
      </c>
      <c r="B255" s="21" t="s">
        <v>64</v>
      </c>
      <c r="C255" s="21" t="s">
        <v>57</v>
      </c>
      <c r="D255" s="21">
        <v>0.9</v>
      </c>
      <c r="E255" s="21">
        <v>15</v>
      </c>
      <c r="F255" s="21">
        <v>1</v>
      </c>
      <c r="G255" s="21">
        <v>43</v>
      </c>
      <c r="H255" s="22">
        <v>7725.98</v>
      </c>
      <c r="I255" s="23">
        <v>10.013</v>
      </c>
    </row>
    <row r="256" spans="1:9" ht="25.5" x14ac:dyDescent="0.25">
      <c r="A256" s="17" t="s">
        <v>52</v>
      </c>
      <c r="B256" s="17" t="s">
        <v>64</v>
      </c>
      <c r="C256" s="17" t="s">
        <v>57</v>
      </c>
      <c r="D256" s="17">
        <v>0.9</v>
      </c>
      <c r="E256" s="17">
        <v>15</v>
      </c>
      <c r="F256" s="17">
        <v>2</v>
      </c>
      <c r="G256" s="17">
        <v>44</v>
      </c>
      <c r="H256" s="18">
        <v>7780.22</v>
      </c>
      <c r="I256" s="19">
        <v>10.041</v>
      </c>
    </row>
    <row r="257" spans="1:9" ht="25.5" x14ac:dyDescent="0.25">
      <c r="A257" s="21" t="s">
        <v>52</v>
      </c>
      <c r="B257" s="21" t="s">
        <v>64</v>
      </c>
      <c r="C257" s="21" t="s">
        <v>53</v>
      </c>
      <c r="D257" s="21" t="s">
        <v>51</v>
      </c>
      <c r="E257" s="21">
        <v>15</v>
      </c>
      <c r="F257" s="21">
        <v>0</v>
      </c>
      <c r="G257" s="21">
        <v>42</v>
      </c>
      <c r="H257" s="22">
        <v>7710.04</v>
      </c>
      <c r="I257" s="23">
        <v>10.048</v>
      </c>
    </row>
    <row r="258" spans="1:9" ht="25.5" x14ac:dyDescent="0.25">
      <c r="A258" s="17" t="s">
        <v>52</v>
      </c>
      <c r="B258" s="17" t="s">
        <v>64</v>
      </c>
      <c r="C258" s="17" t="s">
        <v>53</v>
      </c>
      <c r="D258" s="17" t="s">
        <v>51</v>
      </c>
      <c r="E258" s="17">
        <v>15</v>
      </c>
      <c r="F258" s="17">
        <v>1</v>
      </c>
      <c r="G258" s="17">
        <v>43</v>
      </c>
      <c r="H258" s="18">
        <v>7607.59</v>
      </c>
      <c r="I258" s="19">
        <v>10.019</v>
      </c>
    </row>
    <row r="259" spans="1:9" ht="25.5" x14ac:dyDescent="0.25">
      <c r="A259" s="21" t="s">
        <v>52</v>
      </c>
      <c r="B259" s="21" t="s">
        <v>64</v>
      </c>
      <c r="C259" s="21" t="s">
        <v>53</v>
      </c>
      <c r="D259" s="21" t="s">
        <v>51</v>
      </c>
      <c r="E259" s="21">
        <v>15</v>
      </c>
      <c r="F259" s="21">
        <v>2</v>
      </c>
      <c r="G259" s="21">
        <v>44</v>
      </c>
      <c r="H259" s="22">
        <v>7694.32</v>
      </c>
      <c r="I259" s="23">
        <v>10.02</v>
      </c>
    </row>
    <row r="260" spans="1:9" ht="25.5" x14ac:dyDescent="0.25">
      <c r="A260" s="17" t="s">
        <v>52</v>
      </c>
      <c r="B260" s="17" t="s">
        <v>64</v>
      </c>
      <c r="C260" s="17" t="s">
        <v>54</v>
      </c>
      <c r="D260" s="17" t="s">
        <v>51</v>
      </c>
      <c r="E260" s="17">
        <v>15</v>
      </c>
      <c r="F260" s="17">
        <v>0</v>
      </c>
      <c r="G260" s="17">
        <v>42</v>
      </c>
      <c r="H260" s="18">
        <v>7631.45</v>
      </c>
      <c r="I260" s="19">
        <v>10.01</v>
      </c>
    </row>
    <row r="261" spans="1:9" ht="25.5" x14ac:dyDescent="0.25">
      <c r="A261" s="21" t="s">
        <v>52</v>
      </c>
      <c r="B261" s="21" t="s">
        <v>64</v>
      </c>
      <c r="C261" s="21" t="s">
        <v>54</v>
      </c>
      <c r="D261" s="21" t="s">
        <v>51</v>
      </c>
      <c r="E261" s="21">
        <v>15</v>
      </c>
      <c r="F261" s="21">
        <v>1</v>
      </c>
      <c r="G261" s="21">
        <v>43</v>
      </c>
      <c r="H261" s="22">
        <v>7680.73</v>
      </c>
      <c r="I261" s="23">
        <v>10.01</v>
      </c>
    </row>
    <row r="262" spans="1:9" ht="25.5" x14ac:dyDescent="0.25">
      <c r="A262" s="17" t="s">
        <v>52</v>
      </c>
      <c r="B262" s="17" t="s">
        <v>64</v>
      </c>
      <c r="C262" s="17" t="s">
        <v>54</v>
      </c>
      <c r="D262" s="17" t="s">
        <v>51</v>
      </c>
      <c r="E262" s="17">
        <v>15</v>
      </c>
      <c r="F262" s="17">
        <v>2</v>
      </c>
      <c r="G262" s="17">
        <v>44</v>
      </c>
      <c r="H262" s="18">
        <v>7648.65</v>
      </c>
      <c r="I262" s="19">
        <v>10.042</v>
      </c>
    </row>
    <row r="263" spans="1:9" ht="25.5" x14ac:dyDescent="0.25">
      <c r="A263" s="21" t="s">
        <v>52</v>
      </c>
      <c r="B263" s="21" t="s">
        <v>64</v>
      </c>
      <c r="C263" s="21" t="s">
        <v>55</v>
      </c>
      <c r="D263" s="21" t="s">
        <v>51</v>
      </c>
      <c r="E263" s="21">
        <v>15</v>
      </c>
      <c r="F263" s="21">
        <v>0</v>
      </c>
      <c r="G263" s="21">
        <v>42</v>
      </c>
      <c r="H263" s="22">
        <v>7663.42</v>
      </c>
      <c r="I263" s="23">
        <v>10.028</v>
      </c>
    </row>
    <row r="264" spans="1:9" ht="25.5" x14ac:dyDescent="0.25">
      <c r="A264" s="17" t="s">
        <v>52</v>
      </c>
      <c r="B264" s="17" t="s">
        <v>64</v>
      </c>
      <c r="C264" s="17" t="s">
        <v>55</v>
      </c>
      <c r="D264" s="17" t="s">
        <v>51</v>
      </c>
      <c r="E264" s="17">
        <v>15</v>
      </c>
      <c r="F264" s="17">
        <v>1</v>
      </c>
      <c r="G264" s="17">
        <v>43</v>
      </c>
      <c r="H264" s="18">
        <v>7684.24</v>
      </c>
      <c r="I264" s="19">
        <v>10.039999999999999</v>
      </c>
    </row>
    <row r="265" spans="1:9" ht="25.5" x14ac:dyDescent="0.25">
      <c r="A265" s="21" t="s">
        <v>52</v>
      </c>
      <c r="B265" s="21" t="s">
        <v>64</v>
      </c>
      <c r="C265" s="21" t="s">
        <v>55</v>
      </c>
      <c r="D265" s="21" t="s">
        <v>51</v>
      </c>
      <c r="E265" s="21">
        <v>15</v>
      </c>
      <c r="F265" s="21">
        <v>2</v>
      </c>
      <c r="G265" s="21">
        <v>44</v>
      </c>
      <c r="H265" s="22">
        <v>7678.78</v>
      </c>
      <c r="I265" s="23">
        <v>10.050000000000001</v>
      </c>
    </row>
    <row r="266" spans="1:9" ht="25.5" x14ac:dyDescent="0.25">
      <c r="A266" s="17" t="s">
        <v>52</v>
      </c>
      <c r="B266" s="17" t="s">
        <v>64</v>
      </c>
      <c r="C266" s="17" t="s">
        <v>56</v>
      </c>
      <c r="D266" s="17" t="s">
        <v>51</v>
      </c>
      <c r="E266" s="17">
        <v>15</v>
      </c>
      <c r="F266" s="17">
        <v>0</v>
      </c>
      <c r="G266" s="17">
        <v>42</v>
      </c>
      <c r="H266" s="18">
        <v>7728.01</v>
      </c>
      <c r="I266" s="19">
        <v>10.02</v>
      </c>
    </row>
    <row r="267" spans="1:9" ht="25.5" x14ac:dyDescent="0.25">
      <c r="A267" s="21" t="s">
        <v>52</v>
      </c>
      <c r="B267" s="21" t="s">
        <v>64</v>
      </c>
      <c r="C267" s="21" t="s">
        <v>56</v>
      </c>
      <c r="D267" s="21" t="s">
        <v>51</v>
      </c>
      <c r="E267" s="21">
        <v>15</v>
      </c>
      <c r="F267" s="21">
        <v>1</v>
      </c>
      <c r="G267" s="21">
        <v>43</v>
      </c>
      <c r="H267" s="22">
        <v>7637.94</v>
      </c>
      <c r="I267" s="23">
        <v>10.042</v>
      </c>
    </row>
    <row r="268" spans="1:9" ht="25.5" x14ac:dyDescent="0.25">
      <c r="A268" s="17" t="s">
        <v>52</v>
      </c>
      <c r="B268" s="17" t="s">
        <v>64</v>
      </c>
      <c r="C268" s="17" t="s">
        <v>56</v>
      </c>
      <c r="D268" s="17" t="s">
        <v>51</v>
      </c>
      <c r="E268" s="17">
        <v>15</v>
      </c>
      <c r="F268" s="17">
        <v>2</v>
      </c>
      <c r="G268" s="17">
        <v>44</v>
      </c>
      <c r="H268" s="18">
        <v>7716.39</v>
      </c>
      <c r="I268" s="19">
        <v>10.045</v>
      </c>
    </row>
    <row r="269" spans="1:9" ht="25.5" x14ac:dyDescent="0.25">
      <c r="A269" s="21" t="s">
        <v>52</v>
      </c>
      <c r="B269" s="21" t="s">
        <v>64</v>
      </c>
      <c r="C269" s="21" t="s">
        <v>57</v>
      </c>
      <c r="D269" s="21" t="s">
        <v>51</v>
      </c>
      <c r="E269" s="21">
        <v>15</v>
      </c>
      <c r="F269" s="21">
        <v>0</v>
      </c>
      <c r="G269" s="21">
        <v>42</v>
      </c>
      <c r="H269" s="22">
        <v>7732.33</v>
      </c>
      <c r="I269" s="23">
        <v>10.038</v>
      </c>
    </row>
    <row r="270" spans="1:9" ht="25.5" x14ac:dyDescent="0.25">
      <c r="A270" s="17" t="s">
        <v>52</v>
      </c>
      <c r="B270" s="17" t="s">
        <v>64</v>
      </c>
      <c r="C270" s="17" t="s">
        <v>57</v>
      </c>
      <c r="D270" s="17" t="s">
        <v>51</v>
      </c>
      <c r="E270" s="17">
        <v>15</v>
      </c>
      <c r="F270" s="17">
        <v>1</v>
      </c>
      <c r="G270" s="17">
        <v>43</v>
      </c>
      <c r="H270" s="18">
        <v>7698.01</v>
      </c>
      <c r="I270" s="19">
        <v>10.032</v>
      </c>
    </row>
    <row r="271" spans="1:9" ht="25.5" x14ac:dyDescent="0.25">
      <c r="A271" s="21" t="s">
        <v>52</v>
      </c>
      <c r="B271" s="21" t="s">
        <v>64</v>
      </c>
      <c r="C271" s="21" t="s">
        <v>57</v>
      </c>
      <c r="D271" s="21" t="s">
        <v>51</v>
      </c>
      <c r="E271" s="21">
        <v>15</v>
      </c>
      <c r="F271" s="21">
        <v>2</v>
      </c>
      <c r="G271" s="21">
        <v>44</v>
      </c>
      <c r="H271" s="22">
        <v>7699.42</v>
      </c>
      <c r="I271" s="23">
        <v>10.023999999999999</v>
      </c>
    </row>
    <row r="272" spans="1:9" ht="25.5" x14ac:dyDescent="0.25">
      <c r="A272" s="17" t="s">
        <v>52</v>
      </c>
      <c r="B272" s="17" t="s">
        <v>65</v>
      </c>
      <c r="C272" s="17" t="s">
        <v>53</v>
      </c>
      <c r="D272" s="17">
        <v>0.9</v>
      </c>
      <c r="E272" s="17">
        <v>5</v>
      </c>
      <c r="F272" s="17">
        <v>0</v>
      </c>
      <c r="G272" s="17">
        <v>42</v>
      </c>
      <c r="H272" s="18">
        <v>7679.13</v>
      </c>
      <c r="I272" s="19">
        <v>10.071999999999999</v>
      </c>
    </row>
    <row r="273" spans="1:9" ht="25.5" x14ac:dyDescent="0.25">
      <c r="A273" s="21" t="s">
        <v>52</v>
      </c>
      <c r="B273" s="21" t="s">
        <v>65</v>
      </c>
      <c r="C273" s="21" t="s">
        <v>53</v>
      </c>
      <c r="D273" s="21">
        <v>0.9</v>
      </c>
      <c r="E273" s="21">
        <v>5</v>
      </c>
      <c r="F273" s="21">
        <v>1</v>
      </c>
      <c r="G273" s="21">
        <v>43</v>
      </c>
      <c r="H273" s="22">
        <v>7756.24</v>
      </c>
      <c r="I273" s="23">
        <v>10.037000000000001</v>
      </c>
    </row>
    <row r="274" spans="1:9" ht="25.5" x14ac:dyDescent="0.25">
      <c r="A274" s="17" t="s">
        <v>52</v>
      </c>
      <c r="B274" s="17" t="s">
        <v>65</v>
      </c>
      <c r="C274" s="17" t="s">
        <v>53</v>
      </c>
      <c r="D274" s="17">
        <v>0.9</v>
      </c>
      <c r="E274" s="17">
        <v>5</v>
      </c>
      <c r="F274" s="17">
        <v>2</v>
      </c>
      <c r="G274" s="17">
        <v>44</v>
      </c>
      <c r="H274" s="18">
        <v>7694.15</v>
      </c>
      <c r="I274" s="19">
        <v>10.004</v>
      </c>
    </row>
    <row r="275" spans="1:9" ht="25.5" x14ac:dyDescent="0.25">
      <c r="A275" s="21" t="s">
        <v>52</v>
      </c>
      <c r="B275" s="21" t="s">
        <v>65</v>
      </c>
      <c r="C275" s="21" t="s">
        <v>54</v>
      </c>
      <c r="D275" s="21">
        <v>0.9</v>
      </c>
      <c r="E275" s="21">
        <v>5</v>
      </c>
      <c r="F275" s="21">
        <v>0</v>
      </c>
      <c r="G275" s="21">
        <v>42</v>
      </c>
      <c r="H275" s="22">
        <v>7662.45</v>
      </c>
      <c r="I275" s="23">
        <v>10.034000000000001</v>
      </c>
    </row>
    <row r="276" spans="1:9" ht="25.5" x14ac:dyDescent="0.25">
      <c r="A276" s="17" t="s">
        <v>52</v>
      </c>
      <c r="B276" s="17" t="s">
        <v>65</v>
      </c>
      <c r="C276" s="17" t="s">
        <v>54</v>
      </c>
      <c r="D276" s="17">
        <v>0.9</v>
      </c>
      <c r="E276" s="17">
        <v>5</v>
      </c>
      <c r="F276" s="17">
        <v>1</v>
      </c>
      <c r="G276" s="17">
        <v>43</v>
      </c>
      <c r="H276" s="18">
        <v>7711.42</v>
      </c>
      <c r="I276" s="19">
        <v>10.039999999999999</v>
      </c>
    </row>
    <row r="277" spans="1:9" ht="25.5" x14ac:dyDescent="0.25">
      <c r="A277" s="21" t="s">
        <v>52</v>
      </c>
      <c r="B277" s="21" t="s">
        <v>65</v>
      </c>
      <c r="C277" s="21" t="s">
        <v>54</v>
      </c>
      <c r="D277" s="21">
        <v>0.9</v>
      </c>
      <c r="E277" s="21">
        <v>5</v>
      </c>
      <c r="F277" s="21">
        <v>2</v>
      </c>
      <c r="G277" s="21">
        <v>44</v>
      </c>
      <c r="H277" s="22">
        <v>7578.52</v>
      </c>
      <c r="I277" s="23">
        <v>10.048999999999999</v>
      </c>
    </row>
    <row r="278" spans="1:9" ht="25.5" x14ac:dyDescent="0.25">
      <c r="A278" s="17" t="s">
        <v>52</v>
      </c>
      <c r="B278" s="17" t="s">
        <v>65</v>
      </c>
      <c r="C278" s="17" t="s">
        <v>55</v>
      </c>
      <c r="D278" s="17">
        <v>0.9</v>
      </c>
      <c r="E278" s="17">
        <v>5</v>
      </c>
      <c r="F278" s="17">
        <v>0</v>
      </c>
      <c r="G278" s="17">
        <v>42</v>
      </c>
      <c r="H278" s="18">
        <v>7726.58</v>
      </c>
      <c r="I278" s="19">
        <v>10.019</v>
      </c>
    </row>
    <row r="279" spans="1:9" ht="25.5" x14ac:dyDescent="0.25">
      <c r="A279" s="21" t="s">
        <v>52</v>
      </c>
      <c r="B279" s="21" t="s">
        <v>65</v>
      </c>
      <c r="C279" s="21" t="s">
        <v>55</v>
      </c>
      <c r="D279" s="21">
        <v>0.9</v>
      </c>
      <c r="E279" s="21">
        <v>5</v>
      </c>
      <c r="F279" s="21">
        <v>1</v>
      </c>
      <c r="G279" s="21">
        <v>43</v>
      </c>
      <c r="H279" s="22">
        <v>7681.28</v>
      </c>
      <c r="I279" s="23">
        <v>10.009</v>
      </c>
    </row>
    <row r="280" spans="1:9" ht="25.5" x14ac:dyDescent="0.25">
      <c r="A280" s="17" t="s">
        <v>52</v>
      </c>
      <c r="B280" s="17" t="s">
        <v>65</v>
      </c>
      <c r="C280" s="17" t="s">
        <v>55</v>
      </c>
      <c r="D280" s="17">
        <v>0.9</v>
      </c>
      <c r="E280" s="17">
        <v>5</v>
      </c>
      <c r="F280" s="17">
        <v>2</v>
      </c>
      <c r="G280" s="17">
        <v>44</v>
      </c>
      <c r="H280" s="18">
        <v>7651.19</v>
      </c>
      <c r="I280" s="19">
        <v>10.005000000000001</v>
      </c>
    </row>
    <row r="281" spans="1:9" ht="25.5" x14ac:dyDescent="0.25">
      <c r="A281" s="21" t="s">
        <v>52</v>
      </c>
      <c r="B281" s="21" t="s">
        <v>65</v>
      </c>
      <c r="C281" s="21" t="s">
        <v>56</v>
      </c>
      <c r="D281" s="21">
        <v>0.9</v>
      </c>
      <c r="E281" s="21">
        <v>5</v>
      </c>
      <c r="F281" s="21">
        <v>0</v>
      </c>
      <c r="G281" s="21">
        <v>42</v>
      </c>
      <c r="H281" s="22">
        <v>7732.88</v>
      </c>
      <c r="I281" s="23">
        <v>10.028</v>
      </c>
    </row>
    <row r="282" spans="1:9" ht="25.5" x14ac:dyDescent="0.25">
      <c r="A282" s="17" t="s">
        <v>52</v>
      </c>
      <c r="B282" s="17" t="s">
        <v>65</v>
      </c>
      <c r="C282" s="17" t="s">
        <v>56</v>
      </c>
      <c r="D282" s="17">
        <v>0.9</v>
      </c>
      <c r="E282" s="17">
        <v>5</v>
      </c>
      <c r="F282" s="17">
        <v>1</v>
      </c>
      <c r="G282" s="17">
        <v>43</v>
      </c>
      <c r="H282" s="18">
        <v>7696.73</v>
      </c>
      <c r="I282" s="19">
        <v>10.01</v>
      </c>
    </row>
    <row r="283" spans="1:9" ht="25.5" x14ac:dyDescent="0.25">
      <c r="A283" s="21" t="s">
        <v>52</v>
      </c>
      <c r="B283" s="21" t="s">
        <v>65</v>
      </c>
      <c r="C283" s="21" t="s">
        <v>56</v>
      </c>
      <c r="D283" s="21">
        <v>0.9</v>
      </c>
      <c r="E283" s="21">
        <v>5</v>
      </c>
      <c r="F283" s="21">
        <v>2</v>
      </c>
      <c r="G283" s="21">
        <v>44</v>
      </c>
      <c r="H283" s="22">
        <v>7602.78</v>
      </c>
      <c r="I283" s="23">
        <v>10.02</v>
      </c>
    </row>
    <row r="284" spans="1:9" ht="25.5" x14ac:dyDescent="0.25">
      <c r="A284" s="17" t="s">
        <v>52</v>
      </c>
      <c r="B284" s="17" t="s">
        <v>65</v>
      </c>
      <c r="C284" s="17" t="s">
        <v>57</v>
      </c>
      <c r="D284" s="17">
        <v>0.9</v>
      </c>
      <c r="E284" s="17">
        <v>5</v>
      </c>
      <c r="F284" s="17">
        <v>0</v>
      </c>
      <c r="G284" s="17">
        <v>42</v>
      </c>
      <c r="H284" s="18">
        <v>7740.16</v>
      </c>
      <c r="I284" s="19">
        <v>10.045999999999999</v>
      </c>
    </row>
    <row r="285" spans="1:9" ht="25.5" x14ac:dyDescent="0.25">
      <c r="A285" s="21" t="s">
        <v>52</v>
      </c>
      <c r="B285" s="21" t="s">
        <v>65</v>
      </c>
      <c r="C285" s="21" t="s">
        <v>57</v>
      </c>
      <c r="D285" s="21">
        <v>0.9</v>
      </c>
      <c r="E285" s="21">
        <v>5</v>
      </c>
      <c r="F285" s="21">
        <v>1</v>
      </c>
      <c r="G285" s="21">
        <v>43</v>
      </c>
      <c r="H285" s="22">
        <v>7732.65</v>
      </c>
      <c r="I285" s="23">
        <v>10.018000000000001</v>
      </c>
    </row>
    <row r="286" spans="1:9" ht="25.5" x14ac:dyDescent="0.25">
      <c r="A286" s="17" t="s">
        <v>52</v>
      </c>
      <c r="B286" s="17" t="s">
        <v>65</v>
      </c>
      <c r="C286" s="17" t="s">
        <v>57</v>
      </c>
      <c r="D286" s="17">
        <v>0.9</v>
      </c>
      <c r="E286" s="17">
        <v>5</v>
      </c>
      <c r="F286" s="17">
        <v>2</v>
      </c>
      <c r="G286" s="17">
        <v>44</v>
      </c>
      <c r="H286" s="18">
        <v>7619.12</v>
      </c>
      <c r="I286" s="19">
        <v>10.039</v>
      </c>
    </row>
    <row r="287" spans="1:9" ht="25.5" x14ac:dyDescent="0.25">
      <c r="A287" s="21" t="s">
        <v>52</v>
      </c>
      <c r="B287" s="21" t="s">
        <v>65</v>
      </c>
      <c r="C287" s="21" t="s">
        <v>53</v>
      </c>
      <c r="D287" s="21">
        <v>0.9</v>
      </c>
      <c r="E287" s="21">
        <v>10</v>
      </c>
      <c r="F287" s="21">
        <v>0</v>
      </c>
      <c r="G287" s="21">
        <v>42</v>
      </c>
      <c r="H287" s="22">
        <v>7632.42</v>
      </c>
      <c r="I287" s="23">
        <v>10.009</v>
      </c>
    </row>
    <row r="288" spans="1:9" ht="25.5" x14ac:dyDescent="0.25">
      <c r="A288" s="17" t="s">
        <v>52</v>
      </c>
      <c r="B288" s="17" t="s">
        <v>65</v>
      </c>
      <c r="C288" s="17" t="s">
        <v>53</v>
      </c>
      <c r="D288" s="17">
        <v>0.9</v>
      </c>
      <c r="E288" s="17">
        <v>10</v>
      </c>
      <c r="F288" s="17">
        <v>1</v>
      </c>
      <c r="G288" s="17">
        <v>43</v>
      </c>
      <c r="H288" s="18">
        <v>7756.24</v>
      </c>
      <c r="I288" s="19">
        <v>10.007</v>
      </c>
    </row>
    <row r="289" spans="1:9" ht="25.5" x14ac:dyDescent="0.25">
      <c r="A289" s="21" t="s">
        <v>52</v>
      </c>
      <c r="B289" s="21" t="s">
        <v>65</v>
      </c>
      <c r="C289" s="21" t="s">
        <v>53</v>
      </c>
      <c r="D289" s="21">
        <v>0.9</v>
      </c>
      <c r="E289" s="21">
        <v>10</v>
      </c>
      <c r="F289" s="21">
        <v>2</v>
      </c>
      <c r="G289" s="21">
        <v>44</v>
      </c>
      <c r="H289" s="22">
        <v>7688.36</v>
      </c>
      <c r="I289" s="23">
        <v>10.048999999999999</v>
      </c>
    </row>
    <row r="290" spans="1:9" ht="25.5" x14ac:dyDescent="0.25">
      <c r="A290" s="17" t="s">
        <v>52</v>
      </c>
      <c r="B290" s="17" t="s">
        <v>65</v>
      </c>
      <c r="C290" s="17" t="s">
        <v>54</v>
      </c>
      <c r="D290" s="17">
        <v>0.9</v>
      </c>
      <c r="E290" s="17">
        <v>10</v>
      </c>
      <c r="F290" s="17">
        <v>0</v>
      </c>
      <c r="G290" s="17">
        <v>42</v>
      </c>
      <c r="H290" s="18">
        <v>7662.45</v>
      </c>
      <c r="I290" s="19">
        <v>10.029999999999999</v>
      </c>
    </row>
    <row r="291" spans="1:9" ht="25.5" x14ac:dyDescent="0.25">
      <c r="A291" s="21" t="s">
        <v>52</v>
      </c>
      <c r="B291" s="21" t="s">
        <v>65</v>
      </c>
      <c r="C291" s="21" t="s">
        <v>54</v>
      </c>
      <c r="D291" s="21">
        <v>0.9</v>
      </c>
      <c r="E291" s="21">
        <v>10</v>
      </c>
      <c r="F291" s="21">
        <v>1</v>
      </c>
      <c r="G291" s="21">
        <v>43</v>
      </c>
      <c r="H291" s="22">
        <v>7755.23</v>
      </c>
      <c r="I291" s="23">
        <v>10.015000000000001</v>
      </c>
    </row>
    <row r="292" spans="1:9" ht="25.5" x14ac:dyDescent="0.25">
      <c r="A292" s="17" t="s">
        <v>52</v>
      </c>
      <c r="B292" s="17" t="s">
        <v>65</v>
      </c>
      <c r="C292" s="17" t="s">
        <v>54</v>
      </c>
      <c r="D292" s="17">
        <v>0.9</v>
      </c>
      <c r="E292" s="17">
        <v>10</v>
      </c>
      <c r="F292" s="17">
        <v>2</v>
      </c>
      <c r="G292" s="17">
        <v>44</v>
      </c>
      <c r="H292" s="18">
        <v>7578.52</v>
      </c>
      <c r="I292" s="19">
        <v>10.032999999999999</v>
      </c>
    </row>
    <row r="293" spans="1:9" ht="25.5" x14ac:dyDescent="0.25">
      <c r="A293" s="21" t="s">
        <v>52</v>
      </c>
      <c r="B293" s="21" t="s">
        <v>65</v>
      </c>
      <c r="C293" s="21" t="s">
        <v>55</v>
      </c>
      <c r="D293" s="21">
        <v>0.9</v>
      </c>
      <c r="E293" s="21">
        <v>10</v>
      </c>
      <c r="F293" s="21">
        <v>0</v>
      </c>
      <c r="G293" s="21">
        <v>42</v>
      </c>
      <c r="H293" s="22">
        <v>7726.58</v>
      </c>
      <c r="I293" s="23">
        <v>10.013999999999999</v>
      </c>
    </row>
    <row r="294" spans="1:9" ht="25.5" x14ac:dyDescent="0.25">
      <c r="A294" s="17" t="s">
        <v>52</v>
      </c>
      <c r="B294" s="17" t="s">
        <v>65</v>
      </c>
      <c r="C294" s="17" t="s">
        <v>55</v>
      </c>
      <c r="D294" s="17">
        <v>0.9</v>
      </c>
      <c r="E294" s="17">
        <v>10</v>
      </c>
      <c r="F294" s="17">
        <v>1</v>
      </c>
      <c r="G294" s="17">
        <v>43</v>
      </c>
      <c r="H294" s="18">
        <v>7684.76</v>
      </c>
      <c r="I294" s="19">
        <v>10.005000000000001</v>
      </c>
    </row>
    <row r="295" spans="1:9" ht="25.5" x14ac:dyDescent="0.25">
      <c r="A295" s="21" t="s">
        <v>52</v>
      </c>
      <c r="B295" s="21" t="s">
        <v>65</v>
      </c>
      <c r="C295" s="21" t="s">
        <v>55</v>
      </c>
      <c r="D295" s="21">
        <v>0.9</v>
      </c>
      <c r="E295" s="21">
        <v>10</v>
      </c>
      <c r="F295" s="21">
        <v>2</v>
      </c>
      <c r="G295" s="21">
        <v>44</v>
      </c>
      <c r="H295" s="22">
        <v>7690.74</v>
      </c>
      <c r="I295" s="23">
        <v>10.050000000000001</v>
      </c>
    </row>
    <row r="296" spans="1:9" ht="25.5" x14ac:dyDescent="0.25">
      <c r="A296" s="17" t="s">
        <v>52</v>
      </c>
      <c r="B296" s="17" t="s">
        <v>65</v>
      </c>
      <c r="C296" s="17" t="s">
        <v>56</v>
      </c>
      <c r="D296" s="17">
        <v>0.9</v>
      </c>
      <c r="E296" s="17">
        <v>10</v>
      </c>
      <c r="F296" s="17">
        <v>0</v>
      </c>
      <c r="G296" s="17">
        <v>42</v>
      </c>
      <c r="H296" s="18">
        <v>7722.8</v>
      </c>
      <c r="I296" s="19">
        <v>10.022</v>
      </c>
    </row>
    <row r="297" spans="1:9" ht="25.5" x14ac:dyDescent="0.25">
      <c r="A297" s="21" t="s">
        <v>52</v>
      </c>
      <c r="B297" s="21" t="s">
        <v>65</v>
      </c>
      <c r="C297" s="21" t="s">
        <v>56</v>
      </c>
      <c r="D297" s="21">
        <v>0.9</v>
      </c>
      <c r="E297" s="21">
        <v>10</v>
      </c>
      <c r="F297" s="21">
        <v>1</v>
      </c>
      <c r="G297" s="21">
        <v>43</v>
      </c>
      <c r="H297" s="22">
        <v>7696.73</v>
      </c>
      <c r="I297" s="23">
        <v>10.045999999999999</v>
      </c>
    </row>
    <row r="298" spans="1:9" ht="25.5" x14ac:dyDescent="0.25">
      <c r="A298" s="17" t="s">
        <v>52</v>
      </c>
      <c r="B298" s="17" t="s">
        <v>65</v>
      </c>
      <c r="C298" s="17" t="s">
        <v>56</v>
      </c>
      <c r="D298" s="17">
        <v>0.9</v>
      </c>
      <c r="E298" s="17">
        <v>10</v>
      </c>
      <c r="F298" s="17">
        <v>2</v>
      </c>
      <c r="G298" s="17">
        <v>44</v>
      </c>
      <c r="H298" s="18">
        <v>7672.74</v>
      </c>
      <c r="I298" s="19">
        <v>10.035</v>
      </c>
    </row>
    <row r="299" spans="1:9" ht="25.5" x14ac:dyDescent="0.25">
      <c r="A299" s="21" t="s">
        <v>52</v>
      </c>
      <c r="B299" s="21" t="s">
        <v>65</v>
      </c>
      <c r="C299" s="21" t="s">
        <v>57</v>
      </c>
      <c r="D299" s="21">
        <v>0.9</v>
      </c>
      <c r="E299" s="21">
        <v>10</v>
      </c>
      <c r="F299" s="21">
        <v>0</v>
      </c>
      <c r="G299" s="21">
        <v>42</v>
      </c>
      <c r="H299" s="22">
        <v>7764.55</v>
      </c>
      <c r="I299" s="23">
        <v>10.045</v>
      </c>
    </row>
    <row r="300" spans="1:9" ht="25.5" x14ac:dyDescent="0.25">
      <c r="A300" s="17" t="s">
        <v>52</v>
      </c>
      <c r="B300" s="17" t="s">
        <v>65</v>
      </c>
      <c r="C300" s="17" t="s">
        <v>57</v>
      </c>
      <c r="D300" s="17">
        <v>0.9</v>
      </c>
      <c r="E300" s="17">
        <v>10</v>
      </c>
      <c r="F300" s="17">
        <v>1</v>
      </c>
      <c r="G300" s="17">
        <v>43</v>
      </c>
      <c r="H300" s="18">
        <v>7768.54</v>
      </c>
      <c r="I300" s="19">
        <v>10.010999999999999</v>
      </c>
    </row>
    <row r="301" spans="1:9" ht="25.5" x14ac:dyDescent="0.25">
      <c r="A301" s="21" t="s">
        <v>52</v>
      </c>
      <c r="B301" s="21" t="s">
        <v>65</v>
      </c>
      <c r="C301" s="21" t="s">
        <v>57</v>
      </c>
      <c r="D301" s="21">
        <v>0.9</v>
      </c>
      <c r="E301" s="21">
        <v>10</v>
      </c>
      <c r="F301" s="21">
        <v>2</v>
      </c>
      <c r="G301" s="21">
        <v>44</v>
      </c>
      <c r="H301" s="22">
        <v>7780.22</v>
      </c>
      <c r="I301" s="23">
        <v>10.016</v>
      </c>
    </row>
    <row r="302" spans="1:9" ht="25.5" x14ac:dyDescent="0.25">
      <c r="A302" s="17" t="s">
        <v>52</v>
      </c>
      <c r="B302" s="17" t="s">
        <v>65</v>
      </c>
      <c r="C302" s="17" t="s">
        <v>53</v>
      </c>
      <c r="D302" s="17">
        <v>0.9</v>
      </c>
      <c r="E302" s="17">
        <v>15</v>
      </c>
      <c r="F302" s="17">
        <v>0</v>
      </c>
      <c r="G302" s="17">
        <v>42</v>
      </c>
      <c r="H302" s="18">
        <v>7649.89</v>
      </c>
      <c r="I302" s="19">
        <v>10.013</v>
      </c>
    </row>
    <row r="303" spans="1:9" ht="25.5" x14ac:dyDescent="0.25">
      <c r="A303" s="21" t="s">
        <v>52</v>
      </c>
      <c r="B303" s="21" t="s">
        <v>65</v>
      </c>
      <c r="C303" s="21" t="s">
        <v>53</v>
      </c>
      <c r="D303" s="21">
        <v>0.9</v>
      </c>
      <c r="E303" s="21">
        <v>15</v>
      </c>
      <c r="F303" s="21">
        <v>1</v>
      </c>
      <c r="G303" s="21">
        <v>43</v>
      </c>
      <c r="H303" s="22">
        <v>7756.24</v>
      </c>
      <c r="I303" s="23">
        <v>10.039</v>
      </c>
    </row>
    <row r="304" spans="1:9" ht="25.5" x14ac:dyDescent="0.25">
      <c r="A304" s="17" t="s">
        <v>52</v>
      </c>
      <c r="B304" s="17" t="s">
        <v>65</v>
      </c>
      <c r="C304" s="17" t="s">
        <v>53</v>
      </c>
      <c r="D304" s="17">
        <v>0.9</v>
      </c>
      <c r="E304" s="17">
        <v>15</v>
      </c>
      <c r="F304" s="17">
        <v>2</v>
      </c>
      <c r="G304" s="17">
        <v>44</v>
      </c>
      <c r="H304" s="18">
        <v>7709.91</v>
      </c>
      <c r="I304" s="19">
        <v>10.007</v>
      </c>
    </row>
    <row r="305" spans="1:9" ht="25.5" x14ac:dyDescent="0.25">
      <c r="A305" s="21" t="s">
        <v>52</v>
      </c>
      <c r="B305" s="21" t="s">
        <v>65</v>
      </c>
      <c r="C305" s="21" t="s">
        <v>54</v>
      </c>
      <c r="D305" s="21">
        <v>0.9</v>
      </c>
      <c r="E305" s="21">
        <v>15</v>
      </c>
      <c r="F305" s="21">
        <v>0</v>
      </c>
      <c r="G305" s="21">
        <v>42</v>
      </c>
      <c r="H305" s="22">
        <v>7662.45</v>
      </c>
      <c r="I305" s="23">
        <v>10.035</v>
      </c>
    </row>
    <row r="306" spans="1:9" ht="25.5" x14ac:dyDescent="0.25">
      <c r="A306" s="17" t="s">
        <v>52</v>
      </c>
      <c r="B306" s="17" t="s">
        <v>65</v>
      </c>
      <c r="C306" s="17" t="s">
        <v>54</v>
      </c>
      <c r="D306" s="17">
        <v>0.9</v>
      </c>
      <c r="E306" s="17">
        <v>15</v>
      </c>
      <c r="F306" s="17">
        <v>1</v>
      </c>
      <c r="G306" s="17">
        <v>43</v>
      </c>
      <c r="H306" s="18">
        <v>7755.23</v>
      </c>
      <c r="I306" s="19">
        <v>10.048</v>
      </c>
    </row>
    <row r="307" spans="1:9" ht="25.5" x14ac:dyDescent="0.25">
      <c r="A307" s="21" t="s">
        <v>52</v>
      </c>
      <c r="B307" s="21" t="s">
        <v>65</v>
      </c>
      <c r="C307" s="21" t="s">
        <v>54</v>
      </c>
      <c r="D307" s="21">
        <v>0.9</v>
      </c>
      <c r="E307" s="21">
        <v>15</v>
      </c>
      <c r="F307" s="21">
        <v>2</v>
      </c>
      <c r="G307" s="21">
        <v>44</v>
      </c>
      <c r="H307" s="22">
        <v>7610.7</v>
      </c>
      <c r="I307" s="23">
        <v>10.035</v>
      </c>
    </row>
    <row r="308" spans="1:9" ht="25.5" x14ac:dyDescent="0.25">
      <c r="A308" s="17" t="s">
        <v>52</v>
      </c>
      <c r="B308" s="17" t="s">
        <v>65</v>
      </c>
      <c r="C308" s="17" t="s">
        <v>55</v>
      </c>
      <c r="D308" s="17">
        <v>0.9</v>
      </c>
      <c r="E308" s="17">
        <v>15</v>
      </c>
      <c r="F308" s="17">
        <v>0</v>
      </c>
      <c r="G308" s="17">
        <v>42</v>
      </c>
      <c r="H308" s="18">
        <v>7726.58</v>
      </c>
      <c r="I308" s="19">
        <v>10.013999999999999</v>
      </c>
    </row>
    <row r="309" spans="1:9" ht="25.5" x14ac:dyDescent="0.25">
      <c r="A309" s="21" t="s">
        <v>52</v>
      </c>
      <c r="B309" s="21" t="s">
        <v>65</v>
      </c>
      <c r="C309" s="21" t="s">
        <v>55</v>
      </c>
      <c r="D309" s="21">
        <v>0.9</v>
      </c>
      <c r="E309" s="21">
        <v>15</v>
      </c>
      <c r="F309" s="21">
        <v>1</v>
      </c>
      <c r="G309" s="21">
        <v>43</v>
      </c>
      <c r="H309" s="22">
        <v>7682.77</v>
      </c>
      <c r="I309" s="23">
        <v>10.036</v>
      </c>
    </row>
    <row r="310" spans="1:9" ht="25.5" x14ac:dyDescent="0.25">
      <c r="A310" s="17" t="s">
        <v>52</v>
      </c>
      <c r="B310" s="17" t="s">
        <v>65</v>
      </c>
      <c r="C310" s="17" t="s">
        <v>55</v>
      </c>
      <c r="D310" s="17">
        <v>0.9</v>
      </c>
      <c r="E310" s="17">
        <v>15</v>
      </c>
      <c r="F310" s="17">
        <v>2</v>
      </c>
      <c r="G310" s="17">
        <v>44</v>
      </c>
      <c r="H310" s="18">
        <v>7638.54</v>
      </c>
      <c r="I310" s="19">
        <v>10.035</v>
      </c>
    </row>
    <row r="311" spans="1:9" ht="25.5" x14ac:dyDescent="0.25">
      <c r="A311" s="21" t="s">
        <v>52</v>
      </c>
      <c r="B311" s="21" t="s">
        <v>65</v>
      </c>
      <c r="C311" s="21" t="s">
        <v>56</v>
      </c>
      <c r="D311" s="21">
        <v>0.9</v>
      </c>
      <c r="E311" s="21">
        <v>15</v>
      </c>
      <c r="F311" s="21">
        <v>0</v>
      </c>
      <c r="G311" s="21">
        <v>42</v>
      </c>
      <c r="H311" s="22">
        <v>7711.79</v>
      </c>
      <c r="I311" s="23">
        <v>10.036</v>
      </c>
    </row>
    <row r="312" spans="1:9" ht="25.5" x14ac:dyDescent="0.25">
      <c r="A312" s="17" t="s">
        <v>52</v>
      </c>
      <c r="B312" s="17" t="s">
        <v>65</v>
      </c>
      <c r="C312" s="17" t="s">
        <v>56</v>
      </c>
      <c r="D312" s="17">
        <v>0.9</v>
      </c>
      <c r="E312" s="17">
        <v>15</v>
      </c>
      <c r="F312" s="17">
        <v>1</v>
      </c>
      <c r="G312" s="17">
        <v>43</v>
      </c>
      <c r="H312" s="18">
        <v>7696.73</v>
      </c>
      <c r="I312" s="19">
        <v>10.036</v>
      </c>
    </row>
    <row r="313" spans="1:9" ht="25.5" x14ac:dyDescent="0.25">
      <c r="A313" s="21" t="s">
        <v>52</v>
      </c>
      <c r="B313" s="21" t="s">
        <v>65</v>
      </c>
      <c r="C313" s="21" t="s">
        <v>56</v>
      </c>
      <c r="D313" s="21">
        <v>0.9</v>
      </c>
      <c r="E313" s="21">
        <v>15</v>
      </c>
      <c r="F313" s="21">
        <v>2</v>
      </c>
      <c r="G313" s="21">
        <v>44</v>
      </c>
      <c r="H313" s="22">
        <v>7642.04</v>
      </c>
      <c r="I313" s="23">
        <v>10.039999999999999</v>
      </c>
    </row>
    <row r="314" spans="1:9" ht="25.5" x14ac:dyDescent="0.25">
      <c r="A314" s="17" t="s">
        <v>52</v>
      </c>
      <c r="B314" s="17" t="s">
        <v>65</v>
      </c>
      <c r="C314" s="17" t="s">
        <v>57</v>
      </c>
      <c r="D314" s="17">
        <v>0.9</v>
      </c>
      <c r="E314" s="17">
        <v>15</v>
      </c>
      <c r="F314" s="17">
        <v>0</v>
      </c>
      <c r="G314" s="17">
        <v>42</v>
      </c>
      <c r="H314" s="18">
        <v>7765.68</v>
      </c>
      <c r="I314" s="19">
        <v>10.021000000000001</v>
      </c>
    </row>
    <row r="315" spans="1:9" ht="25.5" x14ac:dyDescent="0.25">
      <c r="A315" s="21" t="s">
        <v>52</v>
      </c>
      <c r="B315" s="21" t="s">
        <v>65</v>
      </c>
      <c r="C315" s="21" t="s">
        <v>57</v>
      </c>
      <c r="D315" s="21">
        <v>0.9</v>
      </c>
      <c r="E315" s="21">
        <v>15</v>
      </c>
      <c r="F315" s="21">
        <v>1</v>
      </c>
      <c r="G315" s="21">
        <v>43</v>
      </c>
      <c r="H315" s="22">
        <v>7725.98</v>
      </c>
      <c r="I315" s="23">
        <v>10.044</v>
      </c>
    </row>
    <row r="316" spans="1:9" ht="25.5" x14ac:dyDescent="0.25">
      <c r="A316" s="17" t="s">
        <v>52</v>
      </c>
      <c r="B316" s="17" t="s">
        <v>65</v>
      </c>
      <c r="C316" s="17" t="s">
        <v>57</v>
      </c>
      <c r="D316" s="17">
        <v>0.9</v>
      </c>
      <c r="E316" s="17">
        <v>15</v>
      </c>
      <c r="F316" s="17">
        <v>2</v>
      </c>
      <c r="G316" s="17">
        <v>44</v>
      </c>
      <c r="H316" s="18">
        <v>7780.22</v>
      </c>
      <c r="I316" s="19">
        <v>10.023</v>
      </c>
    </row>
    <row r="317" spans="1:9" ht="25.5" x14ac:dyDescent="0.25">
      <c r="A317" s="21" t="s">
        <v>52</v>
      </c>
      <c r="B317" s="21" t="s">
        <v>65</v>
      </c>
      <c r="C317" s="21" t="s">
        <v>53</v>
      </c>
      <c r="D317" s="21">
        <v>0.9</v>
      </c>
      <c r="E317" s="21">
        <v>20</v>
      </c>
      <c r="F317" s="21">
        <v>0</v>
      </c>
      <c r="G317" s="21">
        <v>42</v>
      </c>
      <c r="H317" s="22">
        <v>7627.95</v>
      </c>
      <c r="I317" s="23">
        <v>10.019</v>
      </c>
    </row>
    <row r="318" spans="1:9" ht="25.5" x14ac:dyDescent="0.25">
      <c r="A318" s="17" t="s">
        <v>52</v>
      </c>
      <c r="B318" s="17" t="s">
        <v>65</v>
      </c>
      <c r="C318" s="17" t="s">
        <v>53</v>
      </c>
      <c r="D318" s="17">
        <v>0.9</v>
      </c>
      <c r="E318" s="17">
        <v>20</v>
      </c>
      <c r="F318" s="17">
        <v>1</v>
      </c>
      <c r="G318" s="17">
        <v>43</v>
      </c>
      <c r="H318" s="18">
        <v>7755.63</v>
      </c>
      <c r="I318" s="19">
        <v>10.039999999999999</v>
      </c>
    </row>
    <row r="319" spans="1:9" ht="25.5" x14ac:dyDescent="0.25">
      <c r="A319" s="21" t="s">
        <v>52</v>
      </c>
      <c r="B319" s="21" t="s">
        <v>65</v>
      </c>
      <c r="C319" s="21" t="s">
        <v>53</v>
      </c>
      <c r="D319" s="21">
        <v>0.9</v>
      </c>
      <c r="E319" s="21">
        <v>20</v>
      </c>
      <c r="F319" s="21">
        <v>2</v>
      </c>
      <c r="G319" s="21">
        <v>44</v>
      </c>
      <c r="H319" s="22">
        <v>7618.81</v>
      </c>
      <c r="I319" s="23">
        <v>10.007</v>
      </c>
    </row>
    <row r="320" spans="1:9" ht="25.5" x14ac:dyDescent="0.25">
      <c r="A320" s="17" t="s">
        <v>52</v>
      </c>
      <c r="B320" s="17" t="s">
        <v>65</v>
      </c>
      <c r="C320" s="17" t="s">
        <v>54</v>
      </c>
      <c r="D320" s="17">
        <v>0.9</v>
      </c>
      <c r="E320" s="17">
        <v>20</v>
      </c>
      <c r="F320" s="17">
        <v>0</v>
      </c>
      <c r="G320" s="17">
        <v>42</v>
      </c>
      <c r="H320" s="18">
        <v>7662.45</v>
      </c>
      <c r="I320" s="19">
        <v>10.032999999999999</v>
      </c>
    </row>
    <row r="321" spans="1:9" ht="25.5" x14ac:dyDescent="0.25">
      <c r="A321" s="21" t="s">
        <v>52</v>
      </c>
      <c r="B321" s="21" t="s">
        <v>65</v>
      </c>
      <c r="C321" s="21" t="s">
        <v>54</v>
      </c>
      <c r="D321" s="21">
        <v>0.9</v>
      </c>
      <c r="E321" s="21">
        <v>20</v>
      </c>
      <c r="F321" s="21">
        <v>1</v>
      </c>
      <c r="G321" s="21">
        <v>43</v>
      </c>
      <c r="H321" s="22">
        <v>7755.23</v>
      </c>
      <c r="I321" s="23">
        <v>10.018000000000001</v>
      </c>
    </row>
    <row r="322" spans="1:9" ht="25.5" x14ac:dyDescent="0.25">
      <c r="A322" s="17" t="s">
        <v>52</v>
      </c>
      <c r="B322" s="17" t="s">
        <v>65</v>
      </c>
      <c r="C322" s="17" t="s">
        <v>54</v>
      </c>
      <c r="D322" s="17">
        <v>0.9</v>
      </c>
      <c r="E322" s="17">
        <v>20</v>
      </c>
      <c r="F322" s="17">
        <v>2</v>
      </c>
      <c r="G322" s="17">
        <v>44</v>
      </c>
      <c r="H322" s="18">
        <v>7630.66</v>
      </c>
      <c r="I322" s="19">
        <v>10.012</v>
      </c>
    </row>
    <row r="323" spans="1:9" ht="25.5" x14ac:dyDescent="0.25">
      <c r="A323" s="21" t="s">
        <v>52</v>
      </c>
      <c r="B323" s="21" t="s">
        <v>65</v>
      </c>
      <c r="C323" s="21" t="s">
        <v>55</v>
      </c>
      <c r="D323" s="21">
        <v>0.9</v>
      </c>
      <c r="E323" s="21">
        <v>20</v>
      </c>
      <c r="F323" s="21">
        <v>0</v>
      </c>
      <c r="G323" s="21">
        <v>42</v>
      </c>
      <c r="H323" s="22">
        <v>7711.83</v>
      </c>
      <c r="I323" s="23">
        <v>10.026999999999999</v>
      </c>
    </row>
    <row r="324" spans="1:9" ht="25.5" x14ac:dyDescent="0.25">
      <c r="A324" s="17" t="s">
        <v>52</v>
      </c>
      <c r="B324" s="17" t="s">
        <v>65</v>
      </c>
      <c r="C324" s="17" t="s">
        <v>55</v>
      </c>
      <c r="D324" s="17">
        <v>0.9</v>
      </c>
      <c r="E324" s="17">
        <v>20</v>
      </c>
      <c r="F324" s="17">
        <v>1</v>
      </c>
      <c r="G324" s="17">
        <v>43</v>
      </c>
      <c r="H324" s="18">
        <v>7710.71</v>
      </c>
      <c r="I324" s="19">
        <v>10.010999999999999</v>
      </c>
    </row>
    <row r="325" spans="1:9" ht="25.5" x14ac:dyDescent="0.25">
      <c r="A325" s="21" t="s">
        <v>52</v>
      </c>
      <c r="B325" s="21" t="s">
        <v>65</v>
      </c>
      <c r="C325" s="21" t="s">
        <v>55</v>
      </c>
      <c r="D325" s="21">
        <v>0.9</v>
      </c>
      <c r="E325" s="21">
        <v>20</v>
      </c>
      <c r="F325" s="21">
        <v>2</v>
      </c>
      <c r="G325" s="21">
        <v>44</v>
      </c>
      <c r="H325" s="22">
        <v>7665.67</v>
      </c>
      <c r="I325" s="23">
        <v>10.026999999999999</v>
      </c>
    </row>
    <row r="326" spans="1:9" ht="25.5" x14ac:dyDescent="0.25">
      <c r="A326" s="17" t="s">
        <v>52</v>
      </c>
      <c r="B326" s="17" t="s">
        <v>65</v>
      </c>
      <c r="C326" s="17" t="s">
        <v>56</v>
      </c>
      <c r="D326" s="17">
        <v>0.9</v>
      </c>
      <c r="E326" s="17">
        <v>20</v>
      </c>
      <c r="F326" s="17">
        <v>0</v>
      </c>
      <c r="G326" s="17">
        <v>42</v>
      </c>
      <c r="H326" s="18">
        <v>7702.47</v>
      </c>
      <c r="I326" s="19">
        <v>10.053000000000001</v>
      </c>
    </row>
    <row r="327" spans="1:9" ht="25.5" x14ac:dyDescent="0.25">
      <c r="A327" s="21" t="s">
        <v>52</v>
      </c>
      <c r="B327" s="21" t="s">
        <v>65</v>
      </c>
      <c r="C327" s="21" t="s">
        <v>56</v>
      </c>
      <c r="D327" s="21">
        <v>0.9</v>
      </c>
      <c r="E327" s="21">
        <v>20</v>
      </c>
      <c r="F327" s="21">
        <v>1</v>
      </c>
      <c r="G327" s="21">
        <v>43</v>
      </c>
      <c r="H327" s="22">
        <v>7696.73</v>
      </c>
      <c r="I327" s="23">
        <v>10.015000000000001</v>
      </c>
    </row>
    <row r="328" spans="1:9" ht="25.5" x14ac:dyDescent="0.25">
      <c r="A328" s="17" t="s">
        <v>52</v>
      </c>
      <c r="B328" s="17" t="s">
        <v>65</v>
      </c>
      <c r="C328" s="17" t="s">
        <v>56</v>
      </c>
      <c r="D328" s="17">
        <v>0.9</v>
      </c>
      <c r="E328" s="17">
        <v>20</v>
      </c>
      <c r="F328" s="17">
        <v>2</v>
      </c>
      <c r="G328" s="17">
        <v>44</v>
      </c>
      <c r="H328" s="18">
        <v>7667.74</v>
      </c>
      <c r="I328" s="19">
        <v>10.022</v>
      </c>
    </row>
    <row r="329" spans="1:9" ht="25.5" x14ac:dyDescent="0.25">
      <c r="A329" s="21" t="s">
        <v>52</v>
      </c>
      <c r="B329" s="21" t="s">
        <v>65</v>
      </c>
      <c r="C329" s="21" t="s">
        <v>57</v>
      </c>
      <c r="D329" s="21">
        <v>0.9</v>
      </c>
      <c r="E329" s="21">
        <v>20</v>
      </c>
      <c r="F329" s="21">
        <v>0</v>
      </c>
      <c r="G329" s="21">
        <v>42</v>
      </c>
      <c r="H329" s="22">
        <v>7764.55</v>
      </c>
      <c r="I329" s="23">
        <v>10.052</v>
      </c>
    </row>
    <row r="330" spans="1:9" ht="25.5" x14ac:dyDescent="0.25">
      <c r="A330" s="17" t="s">
        <v>52</v>
      </c>
      <c r="B330" s="17" t="s">
        <v>65</v>
      </c>
      <c r="C330" s="17" t="s">
        <v>57</v>
      </c>
      <c r="D330" s="17">
        <v>0.9</v>
      </c>
      <c r="E330" s="17">
        <v>20</v>
      </c>
      <c r="F330" s="17">
        <v>1</v>
      </c>
      <c r="G330" s="17">
        <v>43</v>
      </c>
      <c r="H330" s="18">
        <v>7725.98</v>
      </c>
      <c r="I330" s="19">
        <v>10.044</v>
      </c>
    </row>
    <row r="331" spans="1:9" ht="25.5" x14ac:dyDescent="0.25">
      <c r="A331" s="21" t="s">
        <v>52</v>
      </c>
      <c r="B331" s="21" t="s">
        <v>65</v>
      </c>
      <c r="C331" s="21" t="s">
        <v>57</v>
      </c>
      <c r="D331" s="21">
        <v>0.9</v>
      </c>
      <c r="E331" s="21">
        <v>20</v>
      </c>
      <c r="F331" s="21">
        <v>2</v>
      </c>
      <c r="G331" s="21">
        <v>44</v>
      </c>
      <c r="H331" s="22">
        <v>7780.22</v>
      </c>
      <c r="I331" s="23">
        <v>10.042</v>
      </c>
    </row>
    <row r="332" spans="1:9" ht="25.5" x14ac:dyDescent="0.25">
      <c r="A332" s="17" t="s">
        <v>52</v>
      </c>
      <c r="B332" s="17" t="s">
        <v>65</v>
      </c>
      <c r="C332" s="17" t="s">
        <v>53</v>
      </c>
      <c r="D332" s="17">
        <v>0.9</v>
      </c>
      <c r="E332" s="17">
        <v>25</v>
      </c>
      <c r="F332" s="17">
        <v>0</v>
      </c>
      <c r="G332" s="17">
        <v>42</v>
      </c>
      <c r="H332" s="18">
        <v>7632.42</v>
      </c>
      <c r="I332" s="19">
        <v>10.042</v>
      </c>
    </row>
    <row r="333" spans="1:9" ht="25.5" x14ac:dyDescent="0.25">
      <c r="A333" s="21" t="s">
        <v>52</v>
      </c>
      <c r="B333" s="21" t="s">
        <v>65</v>
      </c>
      <c r="C333" s="21" t="s">
        <v>53</v>
      </c>
      <c r="D333" s="21">
        <v>0.9</v>
      </c>
      <c r="E333" s="21">
        <v>25</v>
      </c>
      <c r="F333" s="21">
        <v>1</v>
      </c>
      <c r="G333" s="21">
        <v>43</v>
      </c>
      <c r="H333" s="22">
        <v>7756.24</v>
      </c>
      <c r="I333" s="23">
        <v>10.026999999999999</v>
      </c>
    </row>
    <row r="334" spans="1:9" ht="25.5" x14ac:dyDescent="0.25">
      <c r="A334" s="17" t="s">
        <v>52</v>
      </c>
      <c r="B334" s="17" t="s">
        <v>65</v>
      </c>
      <c r="C334" s="17" t="s">
        <v>53</v>
      </c>
      <c r="D334" s="17">
        <v>0.9</v>
      </c>
      <c r="E334" s="17">
        <v>25</v>
      </c>
      <c r="F334" s="17">
        <v>2</v>
      </c>
      <c r="G334" s="17">
        <v>44</v>
      </c>
      <c r="H334" s="18">
        <v>7618.81</v>
      </c>
      <c r="I334" s="19">
        <v>10.048999999999999</v>
      </c>
    </row>
    <row r="335" spans="1:9" ht="25.5" x14ac:dyDescent="0.25">
      <c r="A335" s="21" t="s">
        <v>52</v>
      </c>
      <c r="B335" s="21" t="s">
        <v>65</v>
      </c>
      <c r="C335" s="21" t="s">
        <v>54</v>
      </c>
      <c r="D335" s="21">
        <v>0.9</v>
      </c>
      <c r="E335" s="21">
        <v>25</v>
      </c>
      <c r="F335" s="21">
        <v>0</v>
      </c>
      <c r="G335" s="21">
        <v>42</v>
      </c>
      <c r="H335" s="22">
        <v>7662.45</v>
      </c>
      <c r="I335" s="23">
        <v>10.042</v>
      </c>
    </row>
    <row r="336" spans="1:9" ht="25.5" x14ac:dyDescent="0.25">
      <c r="A336" s="17" t="s">
        <v>52</v>
      </c>
      <c r="B336" s="17" t="s">
        <v>65</v>
      </c>
      <c r="C336" s="17" t="s">
        <v>54</v>
      </c>
      <c r="D336" s="17">
        <v>0.9</v>
      </c>
      <c r="E336" s="17">
        <v>25</v>
      </c>
      <c r="F336" s="17">
        <v>1</v>
      </c>
      <c r="G336" s="17">
        <v>43</v>
      </c>
      <c r="H336" s="18">
        <v>7703.6</v>
      </c>
      <c r="I336" s="19">
        <v>10.051</v>
      </c>
    </row>
    <row r="337" spans="1:9" ht="25.5" x14ac:dyDescent="0.25">
      <c r="A337" s="21" t="s">
        <v>52</v>
      </c>
      <c r="B337" s="21" t="s">
        <v>65</v>
      </c>
      <c r="C337" s="21" t="s">
        <v>54</v>
      </c>
      <c r="D337" s="21">
        <v>0.9</v>
      </c>
      <c r="E337" s="21">
        <v>25</v>
      </c>
      <c r="F337" s="21">
        <v>2</v>
      </c>
      <c r="G337" s="21">
        <v>44</v>
      </c>
      <c r="H337" s="22">
        <v>7630.66</v>
      </c>
      <c r="I337" s="23">
        <v>10.048999999999999</v>
      </c>
    </row>
    <row r="338" spans="1:9" ht="25.5" x14ac:dyDescent="0.25">
      <c r="A338" s="17" t="s">
        <v>52</v>
      </c>
      <c r="B338" s="17" t="s">
        <v>65</v>
      </c>
      <c r="C338" s="17" t="s">
        <v>55</v>
      </c>
      <c r="D338" s="17">
        <v>0.9</v>
      </c>
      <c r="E338" s="17">
        <v>25</v>
      </c>
      <c r="F338" s="17">
        <v>0</v>
      </c>
      <c r="G338" s="17">
        <v>42</v>
      </c>
      <c r="H338" s="18">
        <v>7706.18</v>
      </c>
      <c r="I338" s="19">
        <v>10.009</v>
      </c>
    </row>
    <row r="339" spans="1:9" ht="25.5" x14ac:dyDescent="0.25">
      <c r="A339" s="21" t="s">
        <v>52</v>
      </c>
      <c r="B339" s="21" t="s">
        <v>65</v>
      </c>
      <c r="C339" s="21" t="s">
        <v>55</v>
      </c>
      <c r="D339" s="21">
        <v>0.9</v>
      </c>
      <c r="E339" s="21">
        <v>25</v>
      </c>
      <c r="F339" s="21">
        <v>1</v>
      </c>
      <c r="G339" s="21">
        <v>43</v>
      </c>
      <c r="H339" s="22">
        <v>7683.99</v>
      </c>
      <c r="I339" s="23">
        <v>10.023999999999999</v>
      </c>
    </row>
    <row r="340" spans="1:9" ht="25.5" x14ac:dyDescent="0.25">
      <c r="A340" s="17" t="s">
        <v>52</v>
      </c>
      <c r="B340" s="17" t="s">
        <v>65</v>
      </c>
      <c r="C340" s="17" t="s">
        <v>55</v>
      </c>
      <c r="D340" s="17">
        <v>0.9</v>
      </c>
      <c r="E340" s="17">
        <v>25</v>
      </c>
      <c r="F340" s="17">
        <v>2</v>
      </c>
      <c r="G340" s="17">
        <v>44</v>
      </c>
      <c r="H340" s="18">
        <v>7632.38</v>
      </c>
      <c r="I340" s="19">
        <v>10.034000000000001</v>
      </c>
    </row>
    <row r="341" spans="1:9" ht="25.5" x14ac:dyDescent="0.25">
      <c r="A341" s="21" t="s">
        <v>52</v>
      </c>
      <c r="B341" s="21" t="s">
        <v>65</v>
      </c>
      <c r="C341" s="21" t="s">
        <v>56</v>
      </c>
      <c r="D341" s="21">
        <v>0.9</v>
      </c>
      <c r="E341" s="21">
        <v>25</v>
      </c>
      <c r="F341" s="21">
        <v>0</v>
      </c>
      <c r="G341" s="21">
        <v>42</v>
      </c>
      <c r="H341" s="22">
        <v>7702.47</v>
      </c>
      <c r="I341" s="23">
        <v>10.042</v>
      </c>
    </row>
    <row r="342" spans="1:9" ht="25.5" x14ac:dyDescent="0.25">
      <c r="A342" s="17" t="s">
        <v>52</v>
      </c>
      <c r="B342" s="17" t="s">
        <v>65</v>
      </c>
      <c r="C342" s="17" t="s">
        <v>56</v>
      </c>
      <c r="D342" s="17">
        <v>0.9</v>
      </c>
      <c r="E342" s="17">
        <v>25</v>
      </c>
      <c r="F342" s="17">
        <v>1</v>
      </c>
      <c r="G342" s="17">
        <v>43</v>
      </c>
      <c r="H342" s="18">
        <v>7696.73</v>
      </c>
      <c r="I342" s="19">
        <v>10.045999999999999</v>
      </c>
    </row>
    <row r="343" spans="1:9" ht="25.5" x14ac:dyDescent="0.25">
      <c r="A343" s="21" t="s">
        <v>52</v>
      </c>
      <c r="B343" s="21" t="s">
        <v>65</v>
      </c>
      <c r="C343" s="21" t="s">
        <v>56</v>
      </c>
      <c r="D343" s="21">
        <v>0.9</v>
      </c>
      <c r="E343" s="21">
        <v>25</v>
      </c>
      <c r="F343" s="21">
        <v>2</v>
      </c>
      <c r="G343" s="21">
        <v>44</v>
      </c>
      <c r="H343" s="22">
        <v>7656.38</v>
      </c>
      <c r="I343" s="23">
        <v>10.031000000000001</v>
      </c>
    </row>
    <row r="344" spans="1:9" ht="25.5" x14ac:dyDescent="0.25">
      <c r="A344" s="17" t="s">
        <v>52</v>
      </c>
      <c r="B344" s="17" t="s">
        <v>65</v>
      </c>
      <c r="C344" s="17" t="s">
        <v>57</v>
      </c>
      <c r="D344" s="17">
        <v>0.9</v>
      </c>
      <c r="E344" s="17">
        <v>25</v>
      </c>
      <c r="F344" s="17">
        <v>0</v>
      </c>
      <c r="G344" s="17">
        <v>42</v>
      </c>
      <c r="H344" s="18">
        <v>7764.55</v>
      </c>
      <c r="I344" s="19">
        <v>10.041</v>
      </c>
    </row>
    <row r="345" spans="1:9" ht="25.5" x14ac:dyDescent="0.25">
      <c r="A345" s="21" t="s">
        <v>52</v>
      </c>
      <c r="B345" s="21" t="s">
        <v>65</v>
      </c>
      <c r="C345" s="21" t="s">
        <v>57</v>
      </c>
      <c r="D345" s="21">
        <v>0.9</v>
      </c>
      <c r="E345" s="21">
        <v>25</v>
      </c>
      <c r="F345" s="21">
        <v>1</v>
      </c>
      <c r="G345" s="21">
        <v>43</v>
      </c>
      <c r="H345" s="22">
        <v>7725.98</v>
      </c>
      <c r="I345" s="23">
        <v>10.031000000000001</v>
      </c>
    </row>
    <row r="346" spans="1:9" ht="25.5" x14ac:dyDescent="0.25">
      <c r="A346" s="17" t="s">
        <v>52</v>
      </c>
      <c r="B346" s="17" t="s">
        <v>65</v>
      </c>
      <c r="C346" s="17" t="s">
        <v>57</v>
      </c>
      <c r="D346" s="17">
        <v>0.9</v>
      </c>
      <c r="E346" s="17">
        <v>25</v>
      </c>
      <c r="F346" s="17">
        <v>2</v>
      </c>
      <c r="G346" s="17">
        <v>44</v>
      </c>
      <c r="H346" s="18">
        <v>7780.22</v>
      </c>
      <c r="I346" s="19">
        <v>10.026999999999999</v>
      </c>
    </row>
    <row r="347" spans="1:9" ht="25.5" x14ac:dyDescent="0.25">
      <c r="A347" s="21" t="s">
        <v>52</v>
      </c>
      <c r="B347" s="21" t="s">
        <v>65</v>
      </c>
      <c r="C347" s="21" t="s">
        <v>53</v>
      </c>
      <c r="D347" s="21">
        <v>0.9</v>
      </c>
      <c r="E347" s="21">
        <v>30</v>
      </c>
      <c r="F347" s="21">
        <v>0</v>
      </c>
      <c r="G347" s="21">
        <v>42</v>
      </c>
      <c r="H347" s="22">
        <v>7632.42</v>
      </c>
      <c r="I347" s="23">
        <v>10.055999999999999</v>
      </c>
    </row>
    <row r="348" spans="1:9" ht="25.5" x14ac:dyDescent="0.25">
      <c r="A348" s="17" t="s">
        <v>52</v>
      </c>
      <c r="B348" s="17" t="s">
        <v>65</v>
      </c>
      <c r="C348" s="17" t="s">
        <v>53</v>
      </c>
      <c r="D348" s="17">
        <v>0.9</v>
      </c>
      <c r="E348" s="17">
        <v>30</v>
      </c>
      <c r="F348" s="17">
        <v>1</v>
      </c>
      <c r="G348" s="17">
        <v>43</v>
      </c>
      <c r="H348" s="18">
        <v>7756.24</v>
      </c>
      <c r="I348" s="19">
        <v>10.023</v>
      </c>
    </row>
    <row r="349" spans="1:9" ht="25.5" x14ac:dyDescent="0.25">
      <c r="A349" s="21" t="s">
        <v>52</v>
      </c>
      <c r="B349" s="21" t="s">
        <v>65</v>
      </c>
      <c r="C349" s="21" t="s">
        <v>53</v>
      </c>
      <c r="D349" s="21">
        <v>0.9</v>
      </c>
      <c r="E349" s="21">
        <v>30</v>
      </c>
      <c r="F349" s="21">
        <v>2</v>
      </c>
      <c r="G349" s="21">
        <v>44</v>
      </c>
      <c r="H349" s="22">
        <v>7618.81</v>
      </c>
      <c r="I349" s="23">
        <v>10.034000000000001</v>
      </c>
    </row>
    <row r="350" spans="1:9" ht="25.5" x14ac:dyDescent="0.25">
      <c r="A350" s="17" t="s">
        <v>52</v>
      </c>
      <c r="B350" s="17" t="s">
        <v>65</v>
      </c>
      <c r="C350" s="17" t="s">
        <v>54</v>
      </c>
      <c r="D350" s="17">
        <v>0.9</v>
      </c>
      <c r="E350" s="17">
        <v>30</v>
      </c>
      <c r="F350" s="17">
        <v>0</v>
      </c>
      <c r="G350" s="17">
        <v>42</v>
      </c>
      <c r="H350" s="18">
        <v>7662.45</v>
      </c>
      <c r="I350" s="19">
        <v>10.028</v>
      </c>
    </row>
    <row r="351" spans="1:9" ht="25.5" x14ac:dyDescent="0.25">
      <c r="A351" s="21" t="s">
        <v>52</v>
      </c>
      <c r="B351" s="21" t="s">
        <v>65</v>
      </c>
      <c r="C351" s="21" t="s">
        <v>54</v>
      </c>
      <c r="D351" s="21">
        <v>0.9</v>
      </c>
      <c r="E351" s="21">
        <v>30</v>
      </c>
      <c r="F351" s="21">
        <v>1</v>
      </c>
      <c r="G351" s="21">
        <v>43</v>
      </c>
      <c r="H351" s="22">
        <v>7711.42</v>
      </c>
      <c r="I351" s="23">
        <v>10.039</v>
      </c>
    </row>
    <row r="352" spans="1:9" ht="25.5" x14ac:dyDescent="0.25">
      <c r="A352" s="17" t="s">
        <v>52</v>
      </c>
      <c r="B352" s="17" t="s">
        <v>65</v>
      </c>
      <c r="C352" s="17" t="s">
        <v>54</v>
      </c>
      <c r="D352" s="17">
        <v>0.9</v>
      </c>
      <c r="E352" s="17">
        <v>30</v>
      </c>
      <c r="F352" s="17">
        <v>2</v>
      </c>
      <c r="G352" s="17">
        <v>44</v>
      </c>
      <c r="H352" s="18">
        <v>7630.66</v>
      </c>
      <c r="I352" s="19">
        <v>10.029</v>
      </c>
    </row>
    <row r="353" spans="1:9" ht="25.5" x14ac:dyDescent="0.25">
      <c r="A353" s="21" t="s">
        <v>52</v>
      </c>
      <c r="B353" s="21" t="s">
        <v>65</v>
      </c>
      <c r="C353" s="21" t="s">
        <v>55</v>
      </c>
      <c r="D353" s="21">
        <v>0.9</v>
      </c>
      <c r="E353" s="21">
        <v>30</v>
      </c>
      <c r="F353" s="21">
        <v>0</v>
      </c>
      <c r="G353" s="21">
        <v>42</v>
      </c>
      <c r="H353" s="22">
        <v>7707.9</v>
      </c>
      <c r="I353" s="23">
        <v>10.021000000000001</v>
      </c>
    </row>
    <row r="354" spans="1:9" ht="25.5" x14ac:dyDescent="0.25">
      <c r="A354" s="17" t="s">
        <v>52</v>
      </c>
      <c r="B354" s="17" t="s">
        <v>65</v>
      </c>
      <c r="C354" s="17" t="s">
        <v>55</v>
      </c>
      <c r="D354" s="17">
        <v>0.9</v>
      </c>
      <c r="E354" s="17">
        <v>30</v>
      </c>
      <c r="F354" s="17">
        <v>1</v>
      </c>
      <c r="G354" s="17">
        <v>43</v>
      </c>
      <c r="H354" s="18">
        <v>7677.36</v>
      </c>
      <c r="I354" s="19">
        <v>10.048</v>
      </c>
    </row>
    <row r="355" spans="1:9" ht="25.5" x14ac:dyDescent="0.25">
      <c r="A355" s="21" t="s">
        <v>52</v>
      </c>
      <c r="B355" s="21" t="s">
        <v>65</v>
      </c>
      <c r="C355" s="21" t="s">
        <v>55</v>
      </c>
      <c r="D355" s="21">
        <v>0.9</v>
      </c>
      <c r="E355" s="21">
        <v>30</v>
      </c>
      <c r="F355" s="21">
        <v>2</v>
      </c>
      <c r="G355" s="21">
        <v>44</v>
      </c>
      <c r="H355" s="22">
        <v>7642.37</v>
      </c>
      <c r="I355" s="23">
        <v>10.018000000000001</v>
      </c>
    </row>
    <row r="356" spans="1:9" ht="25.5" x14ac:dyDescent="0.25">
      <c r="A356" s="17" t="s">
        <v>52</v>
      </c>
      <c r="B356" s="17" t="s">
        <v>65</v>
      </c>
      <c r="C356" s="17" t="s">
        <v>56</v>
      </c>
      <c r="D356" s="17">
        <v>0.9</v>
      </c>
      <c r="E356" s="17">
        <v>30</v>
      </c>
      <c r="F356" s="17">
        <v>0</v>
      </c>
      <c r="G356" s="17">
        <v>42</v>
      </c>
      <c r="H356" s="18">
        <v>7702.9</v>
      </c>
      <c r="I356" s="19">
        <v>10.025</v>
      </c>
    </row>
    <row r="357" spans="1:9" ht="25.5" x14ac:dyDescent="0.25">
      <c r="A357" s="21" t="s">
        <v>52</v>
      </c>
      <c r="B357" s="21" t="s">
        <v>65</v>
      </c>
      <c r="C357" s="21" t="s">
        <v>56</v>
      </c>
      <c r="D357" s="21">
        <v>0.9</v>
      </c>
      <c r="E357" s="21">
        <v>30</v>
      </c>
      <c r="F357" s="21">
        <v>1</v>
      </c>
      <c r="G357" s="21">
        <v>43</v>
      </c>
      <c r="H357" s="22">
        <v>7696.73</v>
      </c>
      <c r="I357" s="23">
        <v>10.009</v>
      </c>
    </row>
    <row r="358" spans="1:9" ht="25.5" x14ac:dyDescent="0.25">
      <c r="A358" s="17" t="s">
        <v>52</v>
      </c>
      <c r="B358" s="17" t="s">
        <v>65</v>
      </c>
      <c r="C358" s="17" t="s">
        <v>56</v>
      </c>
      <c r="D358" s="17">
        <v>0.9</v>
      </c>
      <c r="E358" s="17">
        <v>30</v>
      </c>
      <c r="F358" s="17">
        <v>2</v>
      </c>
      <c r="G358" s="17">
        <v>44</v>
      </c>
      <c r="H358" s="18">
        <v>7650.13</v>
      </c>
      <c r="I358" s="19">
        <v>10.018000000000001</v>
      </c>
    </row>
    <row r="359" spans="1:9" ht="25.5" x14ac:dyDescent="0.25">
      <c r="A359" s="21" t="s">
        <v>52</v>
      </c>
      <c r="B359" s="21" t="s">
        <v>65</v>
      </c>
      <c r="C359" s="21" t="s">
        <v>57</v>
      </c>
      <c r="D359" s="21">
        <v>0.9</v>
      </c>
      <c r="E359" s="21">
        <v>30</v>
      </c>
      <c r="F359" s="21">
        <v>0</v>
      </c>
      <c r="G359" s="21">
        <v>42</v>
      </c>
      <c r="H359" s="22">
        <v>7765.72</v>
      </c>
      <c r="I359" s="23">
        <v>10.047000000000001</v>
      </c>
    </row>
    <row r="360" spans="1:9" ht="25.5" x14ac:dyDescent="0.25">
      <c r="A360" s="17" t="s">
        <v>52</v>
      </c>
      <c r="B360" s="17" t="s">
        <v>65</v>
      </c>
      <c r="C360" s="17" t="s">
        <v>57</v>
      </c>
      <c r="D360" s="17">
        <v>0.9</v>
      </c>
      <c r="E360" s="17">
        <v>30</v>
      </c>
      <c r="F360" s="17">
        <v>1</v>
      </c>
      <c r="G360" s="17">
        <v>43</v>
      </c>
      <c r="H360" s="18">
        <v>7725.98</v>
      </c>
      <c r="I360" s="19">
        <v>10.050000000000001</v>
      </c>
    </row>
    <row r="361" spans="1:9" ht="25.5" x14ac:dyDescent="0.25">
      <c r="A361" s="21" t="s">
        <v>52</v>
      </c>
      <c r="B361" s="21" t="s">
        <v>65</v>
      </c>
      <c r="C361" s="21" t="s">
        <v>57</v>
      </c>
      <c r="D361" s="21">
        <v>0.9</v>
      </c>
      <c r="E361" s="21">
        <v>30</v>
      </c>
      <c r="F361" s="21">
        <v>2</v>
      </c>
      <c r="G361" s="21">
        <v>44</v>
      </c>
      <c r="H361" s="22">
        <v>7780.22</v>
      </c>
      <c r="I361" s="23">
        <v>10.023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2"/>
  <sheetViews>
    <sheetView showGridLines="0" tabSelected="1" zoomScale="115" zoomScaleNormal="115" workbookViewId="0">
      <pane xSplit="1" ySplit="2" topLeftCell="F3" activePane="bottomRight" state="frozen"/>
      <selection pane="topRight" activeCell="B1" sqref="B1"/>
      <selection pane="bottomLeft" activeCell="A3" sqref="A3"/>
      <selection pane="bottomRight" activeCell="F2" sqref="F2"/>
    </sheetView>
  </sheetViews>
  <sheetFormatPr baseColWidth="10" defaultColWidth="8.7109375" defaultRowHeight="15" x14ac:dyDescent="0.25"/>
  <cols>
    <col min="1" max="1" width="26" customWidth="1"/>
    <col min="2" max="2" width="14" customWidth="1"/>
    <col min="3" max="4" width="19" customWidth="1"/>
    <col min="5" max="5" width="21" customWidth="1"/>
    <col min="6" max="6" width="15" customWidth="1"/>
    <col min="7" max="7" width="32" customWidth="1"/>
    <col min="8" max="8" width="19" customWidth="1"/>
    <col min="9" max="9" width="33" customWidth="1"/>
    <col min="10" max="10" width="19" customWidth="1"/>
    <col min="11" max="12" width="42" customWidth="1"/>
  </cols>
  <sheetData>
    <row r="1" spans="1:12" ht="13.5" customHeight="1" x14ac:dyDescent="0.25">
      <c r="A1" s="6" t="s">
        <v>37</v>
      </c>
      <c r="B1" s="6" t="s">
        <v>66</v>
      </c>
      <c r="C1" s="5" t="s">
        <v>39</v>
      </c>
      <c r="D1" s="5"/>
      <c r="E1" s="5" t="s">
        <v>67</v>
      </c>
      <c r="F1" s="5"/>
      <c r="G1" s="4" t="s">
        <v>68</v>
      </c>
      <c r="H1" s="4"/>
      <c r="I1" s="4" t="s">
        <v>69</v>
      </c>
      <c r="J1" s="4"/>
      <c r="K1" s="5" t="s">
        <v>70</v>
      </c>
      <c r="L1" s="5"/>
    </row>
    <row r="2" spans="1:12" ht="27.75" customHeight="1" x14ac:dyDescent="0.25">
      <c r="A2" s="6"/>
      <c r="B2" s="6"/>
      <c r="C2" s="16" t="s">
        <v>71</v>
      </c>
      <c r="D2" s="16" t="s">
        <v>72</v>
      </c>
      <c r="E2" s="16" t="s">
        <v>71</v>
      </c>
      <c r="F2" s="53" t="s">
        <v>72</v>
      </c>
      <c r="G2" s="25" t="s">
        <v>73</v>
      </c>
      <c r="H2" s="25" t="s">
        <v>74</v>
      </c>
      <c r="I2" s="25" t="s">
        <v>73</v>
      </c>
      <c r="J2" s="25" t="s">
        <v>74</v>
      </c>
      <c r="K2" s="16" t="s">
        <v>75</v>
      </c>
      <c r="L2" s="16" t="s">
        <v>76</v>
      </c>
    </row>
    <row r="3" spans="1:12" ht="18" customHeight="1" x14ac:dyDescent="0.25">
      <c r="A3" s="3" t="s">
        <v>77</v>
      </c>
      <c r="B3" s="3"/>
      <c r="C3" s="3"/>
      <c r="D3" s="3"/>
      <c r="E3" s="3"/>
      <c r="F3" s="3"/>
      <c r="G3" s="3"/>
      <c r="H3" s="3"/>
      <c r="I3" s="3"/>
      <c r="J3" s="3"/>
      <c r="K3" s="3"/>
      <c r="L3" s="3"/>
    </row>
    <row r="4" spans="1:12" ht="15.75" customHeight="1" x14ac:dyDescent="0.25">
      <c r="A4" s="17" t="s">
        <v>46</v>
      </c>
      <c r="B4" s="18">
        <v>360.15</v>
      </c>
      <c r="C4" s="18">
        <v>360.15</v>
      </c>
      <c r="D4" s="18">
        <v>360.15</v>
      </c>
      <c r="E4" s="18">
        <v>360.15</v>
      </c>
      <c r="F4" s="18">
        <v>360.15</v>
      </c>
      <c r="G4" s="26">
        <f t="shared" ref="G4:G9" si="0">D4-C4</f>
        <v>0</v>
      </c>
      <c r="H4" s="27">
        <f t="shared" ref="H4:H9" si="1">(D4-C4)/C4</f>
        <v>0</v>
      </c>
      <c r="I4" s="26">
        <f t="shared" ref="I4:I9" si="2">F4-E4</f>
        <v>0</v>
      </c>
      <c r="J4" s="27">
        <f t="shared" ref="J4:J9" si="3">(F4-E4)/E4</f>
        <v>0</v>
      </c>
      <c r="K4" s="28" t="str">
        <f t="shared" ref="K4:K9" si="4">IF(ABS(G4)&lt;0.01,"Empate",IF(G4&gt;0,"BT mejor","GRASP mejor"))</f>
        <v>Empate</v>
      </c>
      <c r="L4" s="28" t="str">
        <f t="shared" ref="L4:L9" si="5">IF(ABS(I4)&lt;0.01,"Empate",IF(I4&gt;0,"BT mejor","GRASP mejor"))</f>
        <v>Empate</v>
      </c>
    </row>
    <row r="5" spans="1:12" ht="15.75" customHeight="1" x14ac:dyDescent="0.25">
      <c r="A5" s="21" t="s">
        <v>47</v>
      </c>
      <c r="B5" s="22">
        <v>355.72</v>
      </c>
      <c r="C5" s="22">
        <v>355.72</v>
      </c>
      <c r="D5" s="22">
        <v>355.72</v>
      </c>
      <c r="E5" s="22">
        <v>355.72</v>
      </c>
      <c r="F5" s="22">
        <v>355.72</v>
      </c>
      <c r="G5" s="29">
        <f t="shared" si="0"/>
        <v>0</v>
      </c>
      <c r="H5" s="30">
        <f t="shared" si="1"/>
        <v>0</v>
      </c>
      <c r="I5" s="29">
        <f t="shared" si="2"/>
        <v>0</v>
      </c>
      <c r="J5" s="30">
        <f t="shared" si="3"/>
        <v>0</v>
      </c>
      <c r="K5" s="28" t="str">
        <f t="shared" si="4"/>
        <v>Empate</v>
      </c>
      <c r="L5" s="28" t="str">
        <f t="shared" si="5"/>
        <v>Empate</v>
      </c>
    </row>
    <row r="6" spans="1:12" ht="15.75" customHeight="1" x14ac:dyDescent="0.25">
      <c r="A6" s="17" t="s">
        <v>48</v>
      </c>
      <c r="B6" s="18">
        <v>355.5</v>
      </c>
      <c r="C6" s="18">
        <v>355.5</v>
      </c>
      <c r="D6" s="18">
        <v>355.5</v>
      </c>
      <c r="E6" s="18">
        <v>355.5</v>
      </c>
      <c r="F6" s="18">
        <v>355.5</v>
      </c>
      <c r="G6" s="26">
        <f t="shared" si="0"/>
        <v>0</v>
      </c>
      <c r="H6" s="27">
        <f t="shared" si="1"/>
        <v>0</v>
      </c>
      <c r="I6" s="26">
        <f t="shared" si="2"/>
        <v>0</v>
      </c>
      <c r="J6" s="27">
        <f t="shared" si="3"/>
        <v>0</v>
      </c>
      <c r="K6" s="28" t="str">
        <f t="shared" si="4"/>
        <v>Empate</v>
      </c>
      <c r="L6" s="28" t="str">
        <f t="shared" si="5"/>
        <v>Empate</v>
      </c>
    </row>
    <row r="7" spans="1:12" ht="15.75" customHeight="1" x14ac:dyDescent="0.25">
      <c r="A7" s="21" t="s">
        <v>49</v>
      </c>
      <c r="B7" s="22">
        <v>354.25</v>
      </c>
      <c r="C7" s="22">
        <v>354.25</v>
      </c>
      <c r="D7" s="22">
        <v>354.25</v>
      </c>
      <c r="E7" s="22">
        <v>354.25</v>
      </c>
      <c r="F7" s="22">
        <v>354.25</v>
      </c>
      <c r="G7" s="29">
        <f t="shared" si="0"/>
        <v>0</v>
      </c>
      <c r="H7" s="30">
        <f t="shared" si="1"/>
        <v>0</v>
      </c>
      <c r="I7" s="29">
        <f t="shared" si="2"/>
        <v>0</v>
      </c>
      <c r="J7" s="30">
        <f t="shared" si="3"/>
        <v>0</v>
      </c>
      <c r="K7" s="28" t="str">
        <f t="shared" si="4"/>
        <v>Empate</v>
      </c>
      <c r="L7" s="28" t="str">
        <f t="shared" si="5"/>
        <v>Empate</v>
      </c>
    </row>
    <row r="8" spans="1:12" ht="15.75" customHeight="1" x14ac:dyDescent="0.25">
      <c r="A8" s="17" t="s">
        <v>50</v>
      </c>
      <c r="B8" s="18">
        <v>356.06</v>
      </c>
      <c r="C8" s="18">
        <v>356.06</v>
      </c>
      <c r="D8" s="18">
        <v>356.06</v>
      </c>
      <c r="E8" s="18">
        <v>356.06</v>
      </c>
      <c r="F8" s="18">
        <v>356.06</v>
      </c>
      <c r="G8" s="26">
        <f t="shared" si="0"/>
        <v>0</v>
      </c>
      <c r="H8" s="27">
        <f t="shared" si="1"/>
        <v>0</v>
      </c>
      <c r="I8" s="26">
        <f t="shared" si="2"/>
        <v>0</v>
      </c>
      <c r="J8" s="27">
        <f t="shared" si="3"/>
        <v>0</v>
      </c>
      <c r="K8" s="28" t="str">
        <f t="shared" si="4"/>
        <v>Empate</v>
      </c>
      <c r="L8" s="28" t="str">
        <f t="shared" si="5"/>
        <v>Empate</v>
      </c>
    </row>
    <row r="9" spans="1:12" ht="15.75" customHeight="1" x14ac:dyDescent="0.25">
      <c r="A9" s="21" t="s">
        <v>78</v>
      </c>
      <c r="B9" s="22">
        <v>349.31</v>
      </c>
      <c r="C9" s="22">
        <v>349.31</v>
      </c>
      <c r="D9" s="22">
        <v>349.31</v>
      </c>
      <c r="E9" s="22">
        <v>349.31</v>
      </c>
      <c r="F9" s="22">
        <v>349.31</v>
      </c>
      <c r="G9" s="29">
        <f t="shared" si="0"/>
        <v>0</v>
      </c>
      <c r="H9" s="30">
        <f t="shared" si="1"/>
        <v>0</v>
      </c>
      <c r="I9" s="29">
        <f t="shared" si="2"/>
        <v>0</v>
      </c>
      <c r="J9" s="30">
        <f t="shared" si="3"/>
        <v>0</v>
      </c>
      <c r="K9" s="28" t="str">
        <f t="shared" si="4"/>
        <v>Empate</v>
      </c>
      <c r="L9" s="28" t="str">
        <f t="shared" si="5"/>
        <v>Empate</v>
      </c>
    </row>
    <row r="10" spans="1:12" ht="18" customHeight="1" x14ac:dyDescent="0.25">
      <c r="A10" s="3" t="s">
        <v>79</v>
      </c>
      <c r="B10" s="3"/>
      <c r="C10" s="31">
        <f>AVERAGE(C4:C9)</f>
        <v>355.16499999999996</v>
      </c>
      <c r="D10" s="31">
        <f>AVERAGE(D4:D9)</f>
        <v>355.16499999999996</v>
      </c>
      <c r="E10" s="31">
        <f>MAX(E4:E9)</f>
        <v>360.15</v>
      </c>
      <c r="F10" s="31">
        <f>MAX(F4:F9)</f>
        <v>360.15</v>
      </c>
      <c r="G10" s="32">
        <f>AVERAGE(G4:G9)</f>
        <v>0</v>
      </c>
      <c r="H10" s="33">
        <f>AVERAGE(H4:H9)</f>
        <v>0</v>
      </c>
      <c r="I10" s="32">
        <f>AVERAGE(I4:I9)</f>
        <v>0</v>
      </c>
      <c r="J10" s="33">
        <f>AVERAGE(J4:J9)</f>
        <v>0</v>
      </c>
    </row>
    <row r="12" spans="1:12" ht="18" customHeight="1" x14ac:dyDescent="0.25">
      <c r="A12" s="3" t="s">
        <v>80</v>
      </c>
      <c r="B12" s="3"/>
      <c r="C12" s="3"/>
      <c r="D12" s="3"/>
      <c r="E12" s="3"/>
      <c r="F12" s="3"/>
      <c r="G12" s="3"/>
      <c r="H12" s="3"/>
      <c r="I12" s="3"/>
      <c r="J12" s="3"/>
      <c r="K12" s="3"/>
      <c r="L12" s="3"/>
    </row>
    <row r="13" spans="1:12" ht="15.75" customHeight="1" x14ac:dyDescent="0.25">
      <c r="A13" s="17" t="s">
        <v>53</v>
      </c>
      <c r="B13" s="18">
        <v>7756.24</v>
      </c>
      <c r="C13" s="18">
        <v>7695.5</v>
      </c>
      <c r="D13" s="18">
        <v>7694.42</v>
      </c>
      <c r="E13" s="18">
        <v>7722.22</v>
      </c>
      <c r="F13" s="18">
        <v>7756.24</v>
      </c>
      <c r="G13" s="26">
        <f t="shared" ref="G13:G21" si="6">D13-C13</f>
        <v>-1.0799999999999272</v>
      </c>
      <c r="H13" s="27">
        <f t="shared" ref="H13:H21" si="7">(D13-C13)/C13</f>
        <v>-1.4034175817034984E-4</v>
      </c>
      <c r="I13" s="26">
        <f t="shared" ref="I13:I21" si="8">F13-E13</f>
        <v>34.019999999999527</v>
      </c>
      <c r="J13" s="27">
        <f t="shared" ref="J13:J21" si="9">(F13-E13)/E13</f>
        <v>4.4054688936600523E-3</v>
      </c>
      <c r="K13" s="34" t="str">
        <f t="shared" ref="K13:K21" si="10">IF(ABS(G13)&lt;0.01,"Empate",IF(G13&gt;0,"BT mejor","GRASP mejor"))</f>
        <v>GRASP mejor</v>
      </c>
      <c r="L13" s="35" t="str">
        <f t="shared" ref="L13:L21" si="11">IF(ABS(I13)&lt;0.01,"Empate",IF(I13&gt;0,"BT mejor","GRASP mejor"))</f>
        <v>BT mejor</v>
      </c>
    </row>
    <row r="14" spans="1:12" ht="15.75" customHeight="1" x14ac:dyDescent="0.25">
      <c r="A14" s="21" t="s">
        <v>54</v>
      </c>
      <c r="B14" s="22">
        <v>7755.23</v>
      </c>
      <c r="C14" s="22">
        <v>7697.35</v>
      </c>
      <c r="D14" s="22">
        <v>7635.25</v>
      </c>
      <c r="E14" s="22">
        <v>7746</v>
      </c>
      <c r="F14" s="22">
        <v>7755.23</v>
      </c>
      <c r="G14" s="29">
        <f t="shared" si="6"/>
        <v>-62.100000000000364</v>
      </c>
      <c r="H14" s="30">
        <f t="shared" si="7"/>
        <v>-8.0677116150363899E-3</v>
      </c>
      <c r="I14" s="29">
        <f t="shared" si="8"/>
        <v>9.2299999999995634</v>
      </c>
      <c r="J14" s="30">
        <f t="shared" si="9"/>
        <v>1.1915827523882731E-3</v>
      </c>
      <c r="K14" s="34" t="str">
        <f t="shared" si="10"/>
        <v>GRASP mejor</v>
      </c>
      <c r="L14" s="35" t="str">
        <f t="shared" si="11"/>
        <v>BT mejor</v>
      </c>
    </row>
    <row r="15" spans="1:12" ht="15.75" customHeight="1" x14ac:dyDescent="0.25">
      <c r="A15" s="17" t="s">
        <v>55</v>
      </c>
      <c r="B15" s="18">
        <v>7752.31</v>
      </c>
      <c r="C15" s="18">
        <v>7712.16</v>
      </c>
      <c r="D15" s="18">
        <v>7691.21</v>
      </c>
      <c r="E15" s="18">
        <v>7752.31</v>
      </c>
      <c r="F15" s="18">
        <v>7726.58</v>
      </c>
      <c r="G15" s="26">
        <f t="shared" si="6"/>
        <v>-20.949999999999818</v>
      </c>
      <c r="H15" s="27">
        <f t="shared" si="7"/>
        <v>-2.7164892844546559E-3</v>
      </c>
      <c r="I15" s="26">
        <f t="shared" si="8"/>
        <v>-25.730000000000473</v>
      </c>
      <c r="J15" s="27">
        <f t="shared" si="9"/>
        <v>-3.3190107206755755E-3</v>
      </c>
      <c r="K15" s="34" t="str">
        <f t="shared" si="10"/>
        <v>GRASP mejor</v>
      </c>
      <c r="L15" s="34" t="str">
        <f t="shared" si="11"/>
        <v>GRASP mejor</v>
      </c>
    </row>
    <row r="16" spans="1:12" ht="15.75" customHeight="1" x14ac:dyDescent="0.25">
      <c r="A16" s="21" t="s">
        <v>56</v>
      </c>
      <c r="B16" s="22">
        <v>7755.2</v>
      </c>
      <c r="C16" s="22">
        <v>7730.84</v>
      </c>
      <c r="D16" s="22">
        <v>7700.91</v>
      </c>
      <c r="E16" s="22">
        <v>7749.4</v>
      </c>
      <c r="F16" s="22">
        <v>7755.2</v>
      </c>
      <c r="G16" s="29">
        <f t="shared" si="6"/>
        <v>-29.930000000000291</v>
      </c>
      <c r="H16" s="30">
        <f t="shared" si="7"/>
        <v>-3.8715068478975493E-3</v>
      </c>
      <c r="I16" s="29">
        <f t="shared" si="8"/>
        <v>5.8000000000001819</v>
      </c>
      <c r="J16" s="30">
        <f t="shared" si="9"/>
        <v>7.4844504090641631E-4</v>
      </c>
      <c r="K16" s="34" t="str">
        <f t="shared" si="10"/>
        <v>GRASP mejor</v>
      </c>
      <c r="L16" s="35" t="str">
        <f t="shared" si="11"/>
        <v>BT mejor</v>
      </c>
    </row>
    <row r="17" spans="1:12" ht="15.75" customHeight="1" x14ac:dyDescent="0.25">
      <c r="A17" s="17" t="s">
        <v>57</v>
      </c>
      <c r="B17" s="18">
        <v>7780.22</v>
      </c>
      <c r="C17" s="18">
        <v>7737.72</v>
      </c>
      <c r="D17" s="18">
        <v>7747.95</v>
      </c>
      <c r="E17" s="18">
        <v>7748.34</v>
      </c>
      <c r="F17" s="18">
        <v>7780.22</v>
      </c>
      <c r="G17" s="26">
        <f t="shared" si="6"/>
        <v>10.229999999999563</v>
      </c>
      <c r="H17" s="27">
        <f t="shared" si="7"/>
        <v>1.3220948806624642E-3</v>
      </c>
      <c r="I17" s="26">
        <f t="shared" si="8"/>
        <v>31.880000000000109</v>
      </c>
      <c r="J17" s="27">
        <f t="shared" si="9"/>
        <v>4.1144296713876921E-3</v>
      </c>
      <c r="K17" s="35" t="str">
        <f t="shared" si="10"/>
        <v>BT mejor</v>
      </c>
      <c r="L17" s="35" t="str">
        <f t="shared" si="11"/>
        <v>BT mejor</v>
      </c>
    </row>
    <row r="18" spans="1:12" ht="15.75" customHeight="1" x14ac:dyDescent="0.25">
      <c r="A18" s="21" t="s">
        <v>81</v>
      </c>
      <c r="B18" s="22">
        <v>7757.5</v>
      </c>
      <c r="C18" s="22">
        <v>7739.38</v>
      </c>
      <c r="D18" s="22">
        <v>7690.25</v>
      </c>
      <c r="E18" s="22">
        <v>7757.5</v>
      </c>
      <c r="F18" s="22">
        <v>7728.4</v>
      </c>
      <c r="G18" s="29">
        <f t="shared" si="6"/>
        <v>-49.130000000000109</v>
      </c>
      <c r="H18" s="30">
        <f t="shared" si="7"/>
        <v>-6.3480537200654458E-3</v>
      </c>
      <c r="I18" s="29">
        <f t="shared" si="8"/>
        <v>-29.100000000000364</v>
      </c>
      <c r="J18" s="30">
        <f t="shared" si="9"/>
        <v>-3.7512085078956316E-3</v>
      </c>
      <c r="K18" s="34" t="str">
        <f t="shared" si="10"/>
        <v>GRASP mejor</v>
      </c>
      <c r="L18" s="34" t="str">
        <f t="shared" si="11"/>
        <v>GRASP mejor</v>
      </c>
    </row>
    <row r="19" spans="1:12" ht="15.75" customHeight="1" x14ac:dyDescent="0.25">
      <c r="A19" s="17" t="s">
        <v>82</v>
      </c>
      <c r="B19" s="18">
        <v>7785.3</v>
      </c>
      <c r="C19" s="18">
        <v>7723.03</v>
      </c>
      <c r="D19" s="18">
        <v>7704.35</v>
      </c>
      <c r="E19" s="18">
        <v>7756.16</v>
      </c>
      <c r="F19" s="18">
        <v>7785.3</v>
      </c>
      <c r="G19" s="26">
        <f t="shared" si="6"/>
        <v>-18.679999999999382</v>
      </c>
      <c r="H19" s="27">
        <f t="shared" si="7"/>
        <v>-2.4187397951321416E-3</v>
      </c>
      <c r="I19" s="26">
        <f t="shared" si="8"/>
        <v>29.140000000000327</v>
      </c>
      <c r="J19" s="27">
        <f t="shared" si="9"/>
        <v>3.7570137800148951E-3</v>
      </c>
      <c r="K19" s="34" t="str">
        <f t="shared" si="10"/>
        <v>GRASP mejor</v>
      </c>
      <c r="L19" s="35" t="str">
        <f t="shared" si="11"/>
        <v>BT mejor</v>
      </c>
    </row>
    <row r="20" spans="1:12" ht="15.75" customHeight="1" x14ac:dyDescent="0.25">
      <c r="A20" s="21" t="s">
        <v>83</v>
      </c>
      <c r="B20" s="22">
        <v>7729.01</v>
      </c>
      <c r="C20" s="22">
        <v>7702.49</v>
      </c>
      <c r="D20" s="22">
        <v>7677.74</v>
      </c>
      <c r="E20" s="22">
        <v>7729.01</v>
      </c>
      <c r="F20" s="22">
        <v>7722.68</v>
      </c>
      <c r="G20" s="29">
        <f t="shared" si="6"/>
        <v>-24.75</v>
      </c>
      <c r="H20" s="30">
        <f t="shared" si="7"/>
        <v>-3.2132466254419026E-3</v>
      </c>
      <c r="I20" s="29">
        <f t="shared" si="8"/>
        <v>-6.3299999999999272</v>
      </c>
      <c r="J20" s="30">
        <f t="shared" si="9"/>
        <v>-8.1899234183937229E-4</v>
      </c>
      <c r="K20" s="34" t="str">
        <f t="shared" si="10"/>
        <v>GRASP mejor</v>
      </c>
      <c r="L20" s="34" t="str">
        <f t="shared" si="11"/>
        <v>GRASP mejor</v>
      </c>
    </row>
    <row r="21" spans="1:12" ht="15.75" customHeight="1" x14ac:dyDescent="0.25">
      <c r="A21" s="17" t="s">
        <v>84</v>
      </c>
      <c r="B21" s="18">
        <v>7718.59</v>
      </c>
      <c r="C21" s="18">
        <v>7688.01</v>
      </c>
      <c r="D21" s="18">
        <v>7658.29</v>
      </c>
      <c r="E21" s="18">
        <v>7718.59</v>
      </c>
      <c r="F21" s="18">
        <v>7686.17</v>
      </c>
      <c r="G21" s="26">
        <f t="shared" si="6"/>
        <v>-29.720000000000255</v>
      </c>
      <c r="H21" s="27">
        <f t="shared" si="7"/>
        <v>-3.8657598000002933E-3</v>
      </c>
      <c r="I21" s="26">
        <f t="shared" si="8"/>
        <v>-32.420000000000073</v>
      </c>
      <c r="J21" s="27">
        <f t="shared" si="9"/>
        <v>-4.2002490092102407E-3</v>
      </c>
      <c r="K21" s="34" t="str">
        <f t="shared" si="10"/>
        <v>GRASP mejor</v>
      </c>
      <c r="L21" s="34" t="str">
        <f t="shared" si="11"/>
        <v>GRASP mejor</v>
      </c>
    </row>
    <row r="22" spans="1:12" ht="18" customHeight="1" x14ac:dyDescent="0.25">
      <c r="A22" s="3" t="s">
        <v>85</v>
      </c>
      <c r="B22" s="3"/>
      <c r="C22" s="31">
        <f>AVERAGE(C13:C21)</f>
        <v>7714.0533333333333</v>
      </c>
      <c r="D22" s="31">
        <f>AVERAGE(D13:D21)</f>
        <v>7688.9299999999994</v>
      </c>
      <c r="E22" s="31">
        <f>MAX(E13:E21)</f>
        <v>7757.5</v>
      </c>
      <c r="F22" s="31">
        <f>MAX(F13:F21)</f>
        <v>7785.3</v>
      </c>
      <c r="G22" s="32">
        <f>AVERAGE(G13:G21)</f>
        <v>-25.123333333333399</v>
      </c>
      <c r="H22" s="33">
        <f>AVERAGE(H13:H21)</f>
        <v>-3.2577505072818075E-3</v>
      </c>
      <c r="I22" s="32">
        <f>AVERAGE(I13:I21)</f>
        <v>1.832222222222097</v>
      </c>
      <c r="J22" s="33">
        <f>AVERAGE(J13:J21)</f>
        <v>2.3638661763738991E-4</v>
      </c>
    </row>
  </sheetData>
  <mergeCells count="11">
    <mergeCell ref="A22:B22"/>
    <mergeCell ref="I1:J1"/>
    <mergeCell ref="K1:L1"/>
    <mergeCell ref="A3:L3"/>
    <mergeCell ref="A10:B10"/>
    <mergeCell ref="A12:L12"/>
    <mergeCell ref="A1:A2"/>
    <mergeCell ref="B1:B2"/>
    <mergeCell ref="C1:D1"/>
    <mergeCell ref="E1:F1"/>
    <mergeCell ref="G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6"/>
  <sheetViews>
    <sheetView showGridLines="0" zoomScaleNormal="100" workbookViewId="0">
      <pane xSplit="2" ySplit="1" topLeftCell="C2" activePane="bottomRight" state="frozen"/>
      <selection pane="topRight" activeCell="C1" sqref="C1"/>
      <selection pane="bottomLeft" activeCell="A2" sqref="A2"/>
      <selection pane="bottomRight" activeCell="K7" sqref="K7"/>
    </sheetView>
  </sheetViews>
  <sheetFormatPr baseColWidth="10" defaultColWidth="8.7109375" defaultRowHeight="15" x14ac:dyDescent="0.25"/>
  <cols>
    <col min="1" max="1" width="23" customWidth="1"/>
    <col min="2" max="2" width="7" customWidth="1"/>
    <col min="3" max="3" width="11" customWidth="1"/>
    <col min="4" max="4" width="5" customWidth="1"/>
    <col min="5" max="5" width="9" customWidth="1"/>
    <col min="6" max="6" width="7" customWidth="1"/>
    <col min="7" max="7" width="17" customWidth="1"/>
    <col min="8" max="8" width="37" customWidth="1"/>
    <col min="9" max="9" width="40" customWidth="1"/>
  </cols>
  <sheetData>
    <row r="1" spans="1:9" ht="30" customHeight="1" x14ac:dyDescent="0.25">
      <c r="A1" s="16" t="s">
        <v>37</v>
      </c>
      <c r="B1" s="16" t="s">
        <v>36</v>
      </c>
      <c r="C1" s="16" t="s">
        <v>86</v>
      </c>
      <c r="D1" s="16" t="s">
        <v>58</v>
      </c>
      <c r="E1" s="16" t="s">
        <v>59</v>
      </c>
      <c r="F1" s="16" t="s">
        <v>38</v>
      </c>
      <c r="G1" s="16" t="s">
        <v>63</v>
      </c>
      <c r="H1" s="16" t="s">
        <v>60</v>
      </c>
      <c r="I1" s="16" t="s">
        <v>61</v>
      </c>
    </row>
    <row r="2" spans="1:9" ht="25.5" x14ac:dyDescent="0.25">
      <c r="A2" s="17" t="s">
        <v>46</v>
      </c>
      <c r="B2" s="17" t="s">
        <v>45</v>
      </c>
      <c r="C2" s="17" t="s">
        <v>71</v>
      </c>
      <c r="D2" s="17">
        <v>0</v>
      </c>
      <c r="E2" s="17">
        <v>42</v>
      </c>
      <c r="F2" s="17">
        <v>0.1</v>
      </c>
      <c r="G2" s="17" t="s">
        <v>87</v>
      </c>
      <c r="H2" s="18">
        <v>360.15</v>
      </c>
      <c r="I2" s="19">
        <v>30</v>
      </c>
    </row>
    <row r="3" spans="1:9" ht="25.5" x14ac:dyDescent="0.25">
      <c r="A3" s="21" t="s">
        <v>46</v>
      </c>
      <c r="B3" s="21" t="s">
        <v>45</v>
      </c>
      <c r="C3" s="21" t="s">
        <v>71</v>
      </c>
      <c r="D3" s="21">
        <v>1</v>
      </c>
      <c r="E3" s="21">
        <v>43</v>
      </c>
      <c r="F3" s="21">
        <v>0.1</v>
      </c>
      <c r="G3" s="21" t="s">
        <v>87</v>
      </c>
      <c r="H3" s="22">
        <v>360.15</v>
      </c>
      <c r="I3" s="23">
        <v>30.001999999999999</v>
      </c>
    </row>
    <row r="4" spans="1:9" ht="25.5" x14ac:dyDescent="0.25">
      <c r="A4" s="17" t="s">
        <v>46</v>
      </c>
      <c r="B4" s="17" t="s">
        <v>45</v>
      </c>
      <c r="C4" s="17" t="s">
        <v>71</v>
      </c>
      <c r="D4" s="17">
        <v>2</v>
      </c>
      <c r="E4" s="17">
        <v>44</v>
      </c>
      <c r="F4" s="17">
        <v>0.1</v>
      </c>
      <c r="G4" s="17" t="s">
        <v>87</v>
      </c>
      <c r="H4" s="18">
        <v>360.15</v>
      </c>
      <c r="I4" s="19">
        <v>30.001000000000001</v>
      </c>
    </row>
    <row r="5" spans="1:9" ht="25.5" x14ac:dyDescent="0.25">
      <c r="A5" s="21" t="s">
        <v>46</v>
      </c>
      <c r="B5" s="21" t="s">
        <v>45</v>
      </c>
      <c r="C5" s="21" t="s">
        <v>71</v>
      </c>
      <c r="D5" s="21">
        <v>3</v>
      </c>
      <c r="E5" s="21">
        <v>45</v>
      </c>
      <c r="F5" s="21">
        <v>0.1</v>
      </c>
      <c r="G5" s="21" t="s">
        <v>87</v>
      </c>
      <c r="H5" s="22">
        <v>360.15</v>
      </c>
      <c r="I5" s="23">
        <v>30.001000000000001</v>
      </c>
    </row>
    <row r="6" spans="1:9" ht="25.5" x14ac:dyDescent="0.25">
      <c r="A6" s="17" t="s">
        <v>46</v>
      </c>
      <c r="B6" s="17" t="s">
        <v>45</v>
      </c>
      <c r="C6" s="17" t="s">
        <v>71</v>
      </c>
      <c r="D6" s="17">
        <v>4</v>
      </c>
      <c r="E6" s="17">
        <v>46</v>
      </c>
      <c r="F6" s="17">
        <v>0.1</v>
      </c>
      <c r="G6" s="17" t="s">
        <v>87</v>
      </c>
      <c r="H6" s="18">
        <v>360.15</v>
      </c>
      <c r="I6" s="19">
        <v>30</v>
      </c>
    </row>
    <row r="7" spans="1:9" ht="25.5" x14ac:dyDescent="0.25">
      <c r="A7" s="21" t="s">
        <v>46</v>
      </c>
      <c r="B7" s="21" t="s">
        <v>45</v>
      </c>
      <c r="C7" s="21" t="s">
        <v>88</v>
      </c>
      <c r="D7" s="21">
        <v>0</v>
      </c>
      <c r="E7" s="21">
        <v>42</v>
      </c>
      <c r="F7" s="21">
        <v>0.25</v>
      </c>
      <c r="G7" s="21">
        <v>15</v>
      </c>
      <c r="H7" s="22">
        <v>360.15</v>
      </c>
      <c r="I7" s="23">
        <v>30.001000000000001</v>
      </c>
    </row>
    <row r="8" spans="1:9" ht="25.5" x14ac:dyDescent="0.25">
      <c r="A8" s="17" t="s">
        <v>46</v>
      </c>
      <c r="B8" s="17" t="s">
        <v>45</v>
      </c>
      <c r="C8" s="17" t="s">
        <v>88</v>
      </c>
      <c r="D8" s="17">
        <v>1</v>
      </c>
      <c r="E8" s="17">
        <v>43</v>
      </c>
      <c r="F8" s="17">
        <v>0.25</v>
      </c>
      <c r="G8" s="17">
        <v>15</v>
      </c>
      <c r="H8" s="18">
        <v>360.15</v>
      </c>
      <c r="I8" s="19">
        <v>30</v>
      </c>
    </row>
    <row r="9" spans="1:9" ht="25.5" x14ac:dyDescent="0.25">
      <c r="A9" s="21" t="s">
        <v>46</v>
      </c>
      <c r="B9" s="21" t="s">
        <v>45</v>
      </c>
      <c r="C9" s="21" t="s">
        <v>88</v>
      </c>
      <c r="D9" s="21">
        <v>2</v>
      </c>
      <c r="E9" s="21">
        <v>44</v>
      </c>
      <c r="F9" s="21">
        <v>0.25</v>
      </c>
      <c r="G9" s="21">
        <v>15</v>
      </c>
      <c r="H9" s="22">
        <v>360.15</v>
      </c>
      <c r="I9" s="23">
        <v>30.001000000000001</v>
      </c>
    </row>
    <row r="10" spans="1:9" ht="25.5" x14ac:dyDescent="0.25">
      <c r="A10" s="17" t="s">
        <v>46</v>
      </c>
      <c r="B10" s="17" t="s">
        <v>45</v>
      </c>
      <c r="C10" s="17" t="s">
        <v>88</v>
      </c>
      <c r="D10" s="17">
        <v>3</v>
      </c>
      <c r="E10" s="17">
        <v>45</v>
      </c>
      <c r="F10" s="17">
        <v>0.25</v>
      </c>
      <c r="G10" s="17">
        <v>15</v>
      </c>
      <c r="H10" s="18">
        <v>360.15</v>
      </c>
      <c r="I10" s="19">
        <v>30</v>
      </c>
    </row>
    <row r="11" spans="1:9" ht="25.5" x14ac:dyDescent="0.25">
      <c r="A11" s="21" t="s">
        <v>46</v>
      </c>
      <c r="B11" s="21" t="s">
        <v>45</v>
      </c>
      <c r="C11" s="21" t="s">
        <v>88</v>
      </c>
      <c r="D11" s="21">
        <v>4</v>
      </c>
      <c r="E11" s="21">
        <v>46</v>
      </c>
      <c r="F11" s="21">
        <v>0.25</v>
      </c>
      <c r="G11" s="21">
        <v>15</v>
      </c>
      <c r="H11" s="22">
        <v>360.15</v>
      </c>
      <c r="I11" s="23">
        <v>30</v>
      </c>
    </row>
    <row r="12" spans="1:9" ht="25.5" x14ac:dyDescent="0.25">
      <c r="A12" s="17" t="s">
        <v>47</v>
      </c>
      <c r="B12" s="17" t="s">
        <v>45</v>
      </c>
      <c r="C12" s="17" t="s">
        <v>71</v>
      </c>
      <c r="D12" s="17">
        <v>0</v>
      </c>
      <c r="E12" s="17">
        <v>42</v>
      </c>
      <c r="F12" s="17">
        <v>0.1</v>
      </c>
      <c r="G12" s="17" t="s">
        <v>87</v>
      </c>
      <c r="H12" s="18">
        <v>355.72</v>
      </c>
      <c r="I12" s="19">
        <v>30.001000000000001</v>
      </c>
    </row>
    <row r="13" spans="1:9" ht="25.5" x14ac:dyDescent="0.25">
      <c r="A13" s="21" t="s">
        <v>47</v>
      </c>
      <c r="B13" s="21" t="s">
        <v>45</v>
      </c>
      <c r="C13" s="21" t="s">
        <v>71</v>
      </c>
      <c r="D13" s="21">
        <v>1</v>
      </c>
      <c r="E13" s="21">
        <v>43</v>
      </c>
      <c r="F13" s="21">
        <v>0.1</v>
      </c>
      <c r="G13" s="21" t="s">
        <v>87</v>
      </c>
      <c r="H13" s="22">
        <v>355.72</v>
      </c>
      <c r="I13" s="23">
        <v>30.001000000000001</v>
      </c>
    </row>
    <row r="14" spans="1:9" ht="25.5" x14ac:dyDescent="0.25">
      <c r="A14" s="17" t="s">
        <v>47</v>
      </c>
      <c r="B14" s="17" t="s">
        <v>45</v>
      </c>
      <c r="C14" s="17" t="s">
        <v>71</v>
      </c>
      <c r="D14" s="17">
        <v>2</v>
      </c>
      <c r="E14" s="17">
        <v>44</v>
      </c>
      <c r="F14" s="17">
        <v>0.1</v>
      </c>
      <c r="G14" s="17" t="s">
        <v>87</v>
      </c>
      <c r="H14" s="18">
        <v>355.72</v>
      </c>
      <c r="I14" s="19">
        <v>30.001000000000001</v>
      </c>
    </row>
    <row r="15" spans="1:9" ht="25.5" x14ac:dyDescent="0.25">
      <c r="A15" s="21" t="s">
        <v>47</v>
      </c>
      <c r="B15" s="21" t="s">
        <v>45</v>
      </c>
      <c r="C15" s="21" t="s">
        <v>71</v>
      </c>
      <c r="D15" s="21">
        <v>3</v>
      </c>
      <c r="E15" s="21">
        <v>45</v>
      </c>
      <c r="F15" s="21">
        <v>0.1</v>
      </c>
      <c r="G15" s="21" t="s">
        <v>87</v>
      </c>
      <c r="H15" s="22">
        <v>355.72</v>
      </c>
      <c r="I15" s="23">
        <v>30</v>
      </c>
    </row>
    <row r="16" spans="1:9" ht="25.5" x14ac:dyDescent="0.25">
      <c r="A16" s="17" t="s">
        <v>47</v>
      </c>
      <c r="B16" s="17" t="s">
        <v>45</v>
      </c>
      <c r="C16" s="17" t="s">
        <v>71</v>
      </c>
      <c r="D16" s="17">
        <v>4</v>
      </c>
      <c r="E16" s="17">
        <v>46</v>
      </c>
      <c r="F16" s="17">
        <v>0.1</v>
      </c>
      <c r="G16" s="17" t="s">
        <v>87</v>
      </c>
      <c r="H16" s="18">
        <v>355.72</v>
      </c>
      <c r="I16" s="19">
        <v>30.001000000000001</v>
      </c>
    </row>
    <row r="17" spans="1:9" ht="25.5" x14ac:dyDescent="0.25">
      <c r="A17" s="21" t="s">
        <v>47</v>
      </c>
      <c r="B17" s="21" t="s">
        <v>45</v>
      </c>
      <c r="C17" s="21" t="s">
        <v>88</v>
      </c>
      <c r="D17" s="21">
        <v>0</v>
      </c>
      <c r="E17" s="21">
        <v>42</v>
      </c>
      <c r="F17" s="21">
        <v>0.25</v>
      </c>
      <c r="G17" s="21">
        <v>15</v>
      </c>
      <c r="H17" s="22">
        <v>355.72</v>
      </c>
      <c r="I17" s="23">
        <v>30</v>
      </c>
    </row>
    <row r="18" spans="1:9" ht="25.5" x14ac:dyDescent="0.25">
      <c r="A18" s="17" t="s">
        <v>47</v>
      </c>
      <c r="B18" s="17" t="s">
        <v>45</v>
      </c>
      <c r="C18" s="17" t="s">
        <v>88</v>
      </c>
      <c r="D18" s="17">
        <v>1</v>
      </c>
      <c r="E18" s="17">
        <v>43</v>
      </c>
      <c r="F18" s="17">
        <v>0.25</v>
      </c>
      <c r="G18" s="17">
        <v>15</v>
      </c>
      <c r="H18" s="18">
        <v>355.72</v>
      </c>
      <c r="I18" s="19">
        <v>30</v>
      </c>
    </row>
    <row r="19" spans="1:9" ht="25.5" x14ac:dyDescent="0.25">
      <c r="A19" s="21" t="s">
        <v>47</v>
      </c>
      <c r="B19" s="21" t="s">
        <v>45</v>
      </c>
      <c r="C19" s="21" t="s">
        <v>88</v>
      </c>
      <c r="D19" s="21">
        <v>2</v>
      </c>
      <c r="E19" s="21">
        <v>44</v>
      </c>
      <c r="F19" s="21">
        <v>0.25</v>
      </c>
      <c r="G19" s="21">
        <v>15</v>
      </c>
      <c r="H19" s="22">
        <v>355.72</v>
      </c>
      <c r="I19" s="23">
        <v>30</v>
      </c>
    </row>
    <row r="20" spans="1:9" ht="25.5" x14ac:dyDescent="0.25">
      <c r="A20" s="17" t="s">
        <v>47</v>
      </c>
      <c r="B20" s="17" t="s">
        <v>45</v>
      </c>
      <c r="C20" s="17" t="s">
        <v>88</v>
      </c>
      <c r="D20" s="17">
        <v>3</v>
      </c>
      <c r="E20" s="17">
        <v>45</v>
      </c>
      <c r="F20" s="17">
        <v>0.25</v>
      </c>
      <c r="G20" s="17">
        <v>15</v>
      </c>
      <c r="H20" s="18">
        <v>355.72</v>
      </c>
      <c r="I20" s="19">
        <v>30</v>
      </c>
    </row>
    <row r="21" spans="1:9" ht="25.5" x14ac:dyDescent="0.25">
      <c r="A21" s="21" t="s">
        <v>47</v>
      </c>
      <c r="B21" s="21" t="s">
        <v>45</v>
      </c>
      <c r="C21" s="21" t="s">
        <v>88</v>
      </c>
      <c r="D21" s="21">
        <v>4</v>
      </c>
      <c r="E21" s="21">
        <v>46</v>
      </c>
      <c r="F21" s="21">
        <v>0.25</v>
      </c>
      <c r="G21" s="21">
        <v>15</v>
      </c>
      <c r="H21" s="22">
        <v>355.72</v>
      </c>
      <c r="I21" s="23">
        <v>30.001000000000001</v>
      </c>
    </row>
    <row r="22" spans="1:9" ht="25.5" x14ac:dyDescent="0.25">
      <c r="A22" s="17" t="s">
        <v>48</v>
      </c>
      <c r="B22" s="17" t="s">
        <v>45</v>
      </c>
      <c r="C22" s="17" t="s">
        <v>71</v>
      </c>
      <c r="D22" s="17">
        <v>0</v>
      </c>
      <c r="E22" s="17">
        <v>42</v>
      </c>
      <c r="F22" s="17">
        <v>0.1</v>
      </c>
      <c r="G22" s="17" t="s">
        <v>87</v>
      </c>
      <c r="H22" s="18">
        <v>355.5</v>
      </c>
      <c r="I22" s="19">
        <v>30</v>
      </c>
    </row>
    <row r="23" spans="1:9" ht="25.5" x14ac:dyDescent="0.25">
      <c r="A23" s="21" t="s">
        <v>48</v>
      </c>
      <c r="B23" s="21" t="s">
        <v>45</v>
      </c>
      <c r="C23" s="21" t="s">
        <v>71</v>
      </c>
      <c r="D23" s="21">
        <v>1</v>
      </c>
      <c r="E23" s="21">
        <v>43</v>
      </c>
      <c r="F23" s="21">
        <v>0.1</v>
      </c>
      <c r="G23" s="21" t="s">
        <v>87</v>
      </c>
      <c r="H23" s="22">
        <v>355.5</v>
      </c>
      <c r="I23" s="23">
        <v>30.001000000000001</v>
      </c>
    </row>
    <row r="24" spans="1:9" ht="25.5" x14ac:dyDescent="0.25">
      <c r="A24" s="17" t="s">
        <v>48</v>
      </c>
      <c r="B24" s="17" t="s">
        <v>45</v>
      </c>
      <c r="C24" s="17" t="s">
        <v>71</v>
      </c>
      <c r="D24" s="17">
        <v>2</v>
      </c>
      <c r="E24" s="17">
        <v>44</v>
      </c>
      <c r="F24" s="17">
        <v>0.1</v>
      </c>
      <c r="G24" s="17" t="s">
        <v>87</v>
      </c>
      <c r="H24" s="18">
        <v>355.5</v>
      </c>
      <c r="I24" s="19">
        <v>30.001000000000001</v>
      </c>
    </row>
    <row r="25" spans="1:9" ht="25.5" x14ac:dyDescent="0.25">
      <c r="A25" s="21" t="s">
        <v>48</v>
      </c>
      <c r="B25" s="21" t="s">
        <v>45</v>
      </c>
      <c r="C25" s="21" t="s">
        <v>71</v>
      </c>
      <c r="D25" s="21">
        <v>3</v>
      </c>
      <c r="E25" s="21">
        <v>45</v>
      </c>
      <c r="F25" s="21">
        <v>0.1</v>
      </c>
      <c r="G25" s="21" t="s">
        <v>87</v>
      </c>
      <c r="H25" s="22">
        <v>355.5</v>
      </c>
      <c r="I25" s="23">
        <v>30.001999999999999</v>
      </c>
    </row>
    <row r="26" spans="1:9" ht="25.5" x14ac:dyDescent="0.25">
      <c r="A26" s="17" t="s">
        <v>48</v>
      </c>
      <c r="B26" s="17" t="s">
        <v>45</v>
      </c>
      <c r="C26" s="17" t="s">
        <v>71</v>
      </c>
      <c r="D26" s="17">
        <v>4</v>
      </c>
      <c r="E26" s="17">
        <v>46</v>
      </c>
      <c r="F26" s="17">
        <v>0.1</v>
      </c>
      <c r="G26" s="17" t="s">
        <v>87</v>
      </c>
      <c r="H26" s="18">
        <v>355.5</v>
      </c>
      <c r="I26" s="19">
        <v>30.003</v>
      </c>
    </row>
    <row r="27" spans="1:9" ht="25.5" x14ac:dyDescent="0.25">
      <c r="A27" s="21" t="s">
        <v>48</v>
      </c>
      <c r="B27" s="21" t="s">
        <v>45</v>
      </c>
      <c r="C27" s="21" t="s">
        <v>88</v>
      </c>
      <c r="D27" s="21">
        <v>0</v>
      </c>
      <c r="E27" s="21">
        <v>42</v>
      </c>
      <c r="F27" s="21">
        <v>0.25</v>
      </c>
      <c r="G27" s="21">
        <v>15</v>
      </c>
      <c r="H27" s="22">
        <v>355.5</v>
      </c>
      <c r="I27" s="23">
        <v>30</v>
      </c>
    </row>
    <row r="28" spans="1:9" ht="25.5" x14ac:dyDescent="0.25">
      <c r="A28" s="17" t="s">
        <v>48</v>
      </c>
      <c r="B28" s="17" t="s">
        <v>45</v>
      </c>
      <c r="C28" s="17" t="s">
        <v>88</v>
      </c>
      <c r="D28" s="17">
        <v>1</v>
      </c>
      <c r="E28" s="17">
        <v>43</v>
      </c>
      <c r="F28" s="17">
        <v>0.25</v>
      </c>
      <c r="G28" s="17">
        <v>15</v>
      </c>
      <c r="H28" s="18">
        <v>355.5</v>
      </c>
      <c r="I28" s="19">
        <v>30</v>
      </c>
    </row>
    <row r="29" spans="1:9" ht="25.5" x14ac:dyDescent="0.25">
      <c r="A29" s="21" t="s">
        <v>48</v>
      </c>
      <c r="B29" s="21" t="s">
        <v>45</v>
      </c>
      <c r="C29" s="21" t="s">
        <v>88</v>
      </c>
      <c r="D29" s="21">
        <v>2</v>
      </c>
      <c r="E29" s="21">
        <v>44</v>
      </c>
      <c r="F29" s="21">
        <v>0.25</v>
      </c>
      <c r="G29" s="21">
        <v>15</v>
      </c>
      <c r="H29" s="22">
        <v>355.5</v>
      </c>
      <c r="I29" s="23">
        <v>30.001000000000001</v>
      </c>
    </row>
    <row r="30" spans="1:9" ht="25.5" x14ac:dyDescent="0.25">
      <c r="A30" s="17" t="s">
        <v>48</v>
      </c>
      <c r="B30" s="17" t="s">
        <v>45</v>
      </c>
      <c r="C30" s="17" t="s">
        <v>88</v>
      </c>
      <c r="D30" s="17">
        <v>3</v>
      </c>
      <c r="E30" s="17">
        <v>45</v>
      </c>
      <c r="F30" s="17">
        <v>0.25</v>
      </c>
      <c r="G30" s="17">
        <v>15</v>
      </c>
      <c r="H30" s="18">
        <v>355.5</v>
      </c>
      <c r="I30" s="19">
        <v>30.001000000000001</v>
      </c>
    </row>
    <row r="31" spans="1:9" ht="25.5" x14ac:dyDescent="0.25">
      <c r="A31" s="21" t="s">
        <v>48</v>
      </c>
      <c r="B31" s="21" t="s">
        <v>45</v>
      </c>
      <c r="C31" s="21" t="s">
        <v>88</v>
      </c>
      <c r="D31" s="21">
        <v>4</v>
      </c>
      <c r="E31" s="21">
        <v>46</v>
      </c>
      <c r="F31" s="21">
        <v>0.25</v>
      </c>
      <c r="G31" s="21">
        <v>15</v>
      </c>
      <c r="H31" s="22">
        <v>355.5</v>
      </c>
      <c r="I31" s="23">
        <v>30.001000000000001</v>
      </c>
    </row>
    <row r="32" spans="1:9" ht="25.5" x14ac:dyDescent="0.25">
      <c r="A32" s="17" t="s">
        <v>49</v>
      </c>
      <c r="B32" s="17" t="s">
        <v>45</v>
      </c>
      <c r="C32" s="17" t="s">
        <v>71</v>
      </c>
      <c r="D32" s="17">
        <v>0</v>
      </c>
      <c r="E32" s="17">
        <v>42</v>
      </c>
      <c r="F32" s="17">
        <v>0.1</v>
      </c>
      <c r="G32" s="17" t="s">
        <v>87</v>
      </c>
      <c r="H32" s="18">
        <v>354.25</v>
      </c>
      <c r="I32" s="19">
        <v>30</v>
      </c>
    </row>
    <row r="33" spans="1:9" ht="25.5" x14ac:dyDescent="0.25">
      <c r="A33" s="21" t="s">
        <v>49</v>
      </c>
      <c r="B33" s="21" t="s">
        <v>45</v>
      </c>
      <c r="C33" s="21" t="s">
        <v>71</v>
      </c>
      <c r="D33" s="21">
        <v>1</v>
      </c>
      <c r="E33" s="21">
        <v>43</v>
      </c>
      <c r="F33" s="21">
        <v>0.1</v>
      </c>
      <c r="G33" s="21" t="s">
        <v>87</v>
      </c>
      <c r="H33" s="22">
        <v>354.25</v>
      </c>
      <c r="I33" s="23">
        <v>30</v>
      </c>
    </row>
    <row r="34" spans="1:9" ht="25.5" x14ac:dyDescent="0.25">
      <c r="A34" s="17" t="s">
        <v>49</v>
      </c>
      <c r="B34" s="17" t="s">
        <v>45</v>
      </c>
      <c r="C34" s="17" t="s">
        <v>71</v>
      </c>
      <c r="D34" s="17">
        <v>2</v>
      </c>
      <c r="E34" s="17">
        <v>44</v>
      </c>
      <c r="F34" s="17">
        <v>0.1</v>
      </c>
      <c r="G34" s="17" t="s">
        <v>87</v>
      </c>
      <c r="H34" s="18">
        <v>354.25</v>
      </c>
      <c r="I34" s="19">
        <v>30.001999999999999</v>
      </c>
    </row>
    <row r="35" spans="1:9" ht="25.5" x14ac:dyDescent="0.25">
      <c r="A35" s="21" t="s">
        <v>49</v>
      </c>
      <c r="B35" s="21" t="s">
        <v>45</v>
      </c>
      <c r="C35" s="21" t="s">
        <v>71</v>
      </c>
      <c r="D35" s="21">
        <v>3</v>
      </c>
      <c r="E35" s="21">
        <v>45</v>
      </c>
      <c r="F35" s="21">
        <v>0.1</v>
      </c>
      <c r="G35" s="21" t="s">
        <v>87</v>
      </c>
      <c r="H35" s="22">
        <v>354.25</v>
      </c>
      <c r="I35" s="23">
        <v>30.001000000000001</v>
      </c>
    </row>
    <row r="36" spans="1:9" ht="25.5" x14ac:dyDescent="0.25">
      <c r="A36" s="17" t="s">
        <v>49</v>
      </c>
      <c r="B36" s="17" t="s">
        <v>45</v>
      </c>
      <c r="C36" s="17" t="s">
        <v>71</v>
      </c>
      <c r="D36" s="17">
        <v>4</v>
      </c>
      <c r="E36" s="17">
        <v>46</v>
      </c>
      <c r="F36" s="17">
        <v>0.1</v>
      </c>
      <c r="G36" s="17" t="s">
        <v>87</v>
      </c>
      <c r="H36" s="18">
        <v>354.25</v>
      </c>
      <c r="I36" s="19">
        <v>30.001999999999999</v>
      </c>
    </row>
    <row r="37" spans="1:9" ht="25.5" x14ac:dyDescent="0.25">
      <c r="A37" s="21" t="s">
        <v>49</v>
      </c>
      <c r="B37" s="21" t="s">
        <v>45</v>
      </c>
      <c r="C37" s="21" t="s">
        <v>88</v>
      </c>
      <c r="D37" s="21">
        <v>0</v>
      </c>
      <c r="E37" s="21">
        <v>42</v>
      </c>
      <c r="F37" s="21">
        <v>0.25</v>
      </c>
      <c r="G37" s="21">
        <v>15</v>
      </c>
      <c r="H37" s="22">
        <v>354.25</v>
      </c>
      <c r="I37" s="23">
        <v>30.001000000000001</v>
      </c>
    </row>
    <row r="38" spans="1:9" ht="25.5" x14ac:dyDescent="0.25">
      <c r="A38" s="17" t="s">
        <v>49</v>
      </c>
      <c r="B38" s="17" t="s">
        <v>45</v>
      </c>
      <c r="C38" s="17" t="s">
        <v>88</v>
      </c>
      <c r="D38" s="17">
        <v>1</v>
      </c>
      <c r="E38" s="17">
        <v>43</v>
      </c>
      <c r="F38" s="17">
        <v>0.25</v>
      </c>
      <c r="G38" s="17">
        <v>15</v>
      </c>
      <c r="H38" s="18">
        <v>354.25</v>
      </c>
      <c r="I38" s="19">
        <v>30</v>
      </c>
    </row>
    <row r="39" spans="1:9" ht="25.5" x14ac:dyDescent="0.25">
      <c r="A39" s="21" t="s">
        <v>49</v>
      </c>
      <c r="B39" s="21" t="s">
        <v>45</v>
      </c>
      <c r="C39" s="21" t="s">
        <v>88</v>
      </c>
      <c r="D39" s="21">
        <v>2</v>
      </c>
      <c r="E39" s="21">
        <v>44</v>
      </c>
      <c r="F39" s="21">
        <v>0.25</v>
      </c>
      <c r="G39" s="21">
        <v>15</v>
      </c>
      <c r="H39" s="22">
        <v>354.25</v>
      </c>
      <c r="I39" s="23">
        <v>30</v>
      </c>
    </row>
    <row r="40" spans="1:9" ht="25.5" x14ac:dyDescent="0.25">
      <c r="A40" s="17" t="s">
        <v>49</v>
      </c>
      <c r="B40" s="17" t="s">
        <v>45</v>
      </c>
      <c r="C40" s="17" t="s">
        <v>88</v>
      </c>
      <c r="D40" s="17">
        <v>3</v>
      </c>
      <c r="E40" s="17">
        <v>45</v>
      </c>
      <c r="F40" s="17">
        <v>0.25</v>
      </c>
      <c r="G40" s="17">
        <v>15</v>
      </c>
      <c r="H40" s="18">
        <v>354.25</v>
      </c>
      <c r="I40" s="19">
        <v>30</v>
      </c>
    </row>
    <row r="41" spans="1:9" ht="25.5" x14ac:dyDescent="0.25">
      <c r="A41" s="21" t="s">
        <v>49</v>
      </c>
      <c r="B41" s="21" t="s">
        <v>45</v>
      </c>
      <c r="C41" s="21" t="s">
        <v>88</v>
      </c>
      <c r="D41" s="21">
        <v>4</v>
      </c>
      <c r="E41" s="21">
        <v>46</v>
      </c>
      <c r="F41" s="21">
        <v>0.25</v>
      </c>
      <c r="G41" s="21">
        <v>15</v>
      </c>
      <c r="H41" s="22">
        <v>354.25</v>
      </c>
      <c r="I41" s="23">
        <v>30</v>
      </c>
    </row>
    <row r="42" spans="1:9" ht="25.5" x14ac:dyDescent="0.25">
      <c r="A42" s="17" t="s">
        <v>50</v>
      </c>
      <c r="B42" s="17" t="s">
        <v>45</v>
      </c>
      <c r="C42" s="17" t="s">
        <v>71</v>
      </c>
      <c r="D42" s="17">
        <v>0</v>
      </c>
      <c r="E42" s="17">
        <v>42</v>
      </c>
      <c r="F42" s="17">
        <v>0.1</v>
      </c>
      <c r="G42" s="17" t="s">
        <v>87</v>
      </c>
      <c r="H42" s="18">
        <v>356.06</v>
      </c>
      <c r="I42" s="19">
        <v>30</v>
      </c>
    </row>
    <row r="43" spans="1:9" ht="25.5" x14ac:dyDescent="0.25">
      <c r="A43" s="21" t="s">
        <v>50</v>
      </c>
      <c r="B43" s="21" t="s">
        <v>45</v>
      </c>
      <c r="C43" s="21" t="s">
        <v>71</v>
      </c>
      <c r="D43" s="21">
        <v>1</v>
      </c>
      <c r="E43" s="21">
        <v>43</v>
      </c>
      <c r="F43" s="21">
        <v>0.1</v>
      </c>
      <c r="G43" s="21" t="s">
        <v>87</v>
      </c>
      <c r="H43" s="22">
        <v>356.06</v>
      </c>
      <c r="I43" s="23">
        <v>30</v>
      </c>
    </row>
    <row r="44" spans="1:9" ht="25.5" x14ac:dyDescent="0.25">
      <c r="A44" s="17" t="s">
        <v>50</v>
      </c>
      <c r="B44" s="17" t="s">
        <v>45</v>
      </c>
      <c r="C44" s="17" t="s">
        <v>71</v>
      </c>
      <c r="D44" s="17">
        <v>2</v>
      </c>
      <c r="E44" s="17">
        <v>44</v>
      </c>
      <c r="F44" s="17">
        <v>0.1</v>
      </c>
      <c r="G44" s="17" t="s">
        <v>87</v>
      </c>
      <c r="H44" s="18">
        <v>356.06</v>
      </c>
      <c r="I44" s="19">
        <v>30.001000000000001</v>
      </c>
    </row>
    <row r="45" spans="1:9" ht="25.5" x14ac:dyDescent="0.25">
      <c r="A45" s="21" t="s">
        <v>50</v>
      </c>
      <c r="B45" s="21" t="s">
        <v>45</v>
      </c>
      <c r="C45" s="21" t="s">
        <v>71</v>
      </c>
      <c r="D45" s="21">
        <v>3</v>
      </c>
      <c r="E45" s="21">
        <v>45</v>
      </c>
      <c r="F45" s="21">
        <v>0.1</v>
      </c>
      <c r="G45" s="21" t="s">
        <v>87</v>
      </c>
      <c r="H45" s="22">
        <v>356.06</v>
      </c>
      <c r="I45" s="23">
        <v>30.001000000000001</v>
      </c>
    </row>
    <row r="46" spans="1:9" ht="25.5" x14ac:dyDescent="0.25">
      <c r="A46" s="17" t="s">
        <v>50</v>
      </c>
      <c r="B46" s="17" t="s">
        <v>45</v>
      </c>
      <c r="C46" s="17" t="s">
        <v>71</v>
      </c>
      <c r="D46" s="17">
        <v>4</v>
      </c>
      <c r="E46" s="17">
        <v>46</v>
      </c>
      <c r="F46" s="17">
        <v>0.1</v>
      </c>
      <c r="G46" s="17" t="s">
        <v>87</v>
      </c>
      <c r="H46" s="18">
        <v>356.06</v>
      </c>
      <c r="I46" s="19">
        <v>30.001000000000001</v>
      </c>
    </row>
    <row r="47" spans="1:9" ht="25.5" x14ac:dyDescent="0.25">
      <c r="A47" s="21" t="s">
        <v>50</v>
      </c>
      <c r="B47" s="21" t="s">
        <v>45</v>
      </c>
      <c r="C47" s="21" t="s">
        <v>88</v>
      </c>
      <c r="D47" s="21">
        <v>0</v>
      </c>
      <c r="E47" s="21">
        <v>42</v>
      </c>
      <c r="F47" s="21">
        <v>0.25</v>
      </c>
      <c r="G47" s="21">
        <v>15</v>
      </c>
      <c r="H47" s="22">
        <v>356.06</v>
      </c>
      <c r="I47" s="23">
        <v>30.001000000000001</v>
      </c>
    </row>
    <row r="48" spans="1:9" ht="25.5" x14ac:dyDescent="0.25">
      <c r="A48" s="17" t="s">
        <v>50</v>
      </c>
      <c r="B48" s="17" t="s">
        <v>45</v>
      </c>
      <c r="C48" s="17" t="s">
        <v>88</v>
      </c>
      <c r="D48" s="17">
        <v>1</v>
      </c>
      <c r="E48" s="17">
        <v>43</v>
      </c>
      <c r="F48" s="17">
        <v>0.25</v>
      </c>
      <c r="G48" s="17">
        <v>15</v>
      </c>
      <c r="H48" s="18">
        <v>356.06</v>
      </c>
      <c r="I48" s="19">
        <v>30</v>
      </c>
    </row>
    <row r="49" spans="1:9" ht="25.5" x14ac:dyDescent="0.25">
      <c r="A49" s="21" t="s">
        <v>50</v>
      </c>
      <c r="B49" s="21" t="s">
        <v>45</v>
      </c>
      <c r="C49" s="21" t="s">
        <v>88</v>
      </c>
      <c r="D49" s="21">
        <v>2</v>
      </c>
      <c r="E49" s="21">
        <v>44</v>
      </c>
      <c r="F49" s="21">
        <v>0.25</v>
      </c>
      <c r="G49" s="21">
        <v>15</v>
      </c>
      <c r="H49" s="22">
        <v>356.06</v>
      </c>
      <c r="I49" s="23">
        <v>30</v>
      </c>
    </row>
    <row r="50" spans="1:9" ht="25.5" x14ac:dyDescent="0.25">
      <c r="A50" s="17" t="s">
        <v>50</v>
      </c>
      <c r="B50" s="17" t="s">
        <v>45</v>
      </c>
      <c r="C50" s="17" t="s">
        <v>88</v>
      </c>
      <c r="D50" s="17">
        <v>3</v>
      </c>
      <c r="E50" s="17">
        <v>45</v>
      </c>
      <c r="F50" s="17">
        <v>0.25</v>
      </c>
      <c r="G50" s="17">
        <v>15</v>
      </c>
      <c r="H50" s="18">
        <v>356.06</v>
      </c>
      <c r="I50" s="19">
        <v>30.001000000000001</v>
      </c>
    </row>
    <row r="51" spans="1:9" ht="25.5" x14ac:dyDescent="0.25">
      <c r="A51" s="21" t="s">
        <v>50</v>
      </c>
      <c r="B51" s="21" t="s">
        <v>45</v>
      </c>
      <c r="C51" s="21" t="s">
        <v>88</v>
      </c>
      <c r="D51" s="21">
        <v>4</v>
      </c>
      <c r="E51" s="21">
        <v>46</v>
      </c>
      <c r="F51" s="21">
        <v>0.25</v>
      </c>
      <c r="G51" s="21">
        <v>15</v>
      </c>
      <c r="H51" s="22">
        <v>356.06</v>
      </c>
      <c r="I51" s="23">
        <v>30.001000000000001</v>
      </c>
    </row>
    <row r="52" spans="1:9" ht="25.5" x14ac:dyDescent="0.25">
      <c r="A52" s="17" t="s">
        <v>78</v>
      </c>
      <c r="B52" s="17" t="s">
        <v>45</v>
      </c>
      <c r="C52" s="17" t="s">
        <v>71</v>
      </c>
      <c r="D52" s="17">
        <v>0</v>
      </c>
      <c r="E52" s="17">
        <v>42</v>
      </c>
      <c r="F52" s="17">
        <v>0.1</v>
      </c>
      <c r="G52" s="17" t="s">
        <v>87</v>
      </c>
      <c r="H52" s="18">
        <v>349.31</v>
      </c>
      <c r="I52" s="19">
        <v>30.001000000000001</v>
      </c>
    </row>
    <row r="53" spans="1:9" ht="25.5" x14ac:dyDescent="0.25">
      <c r="A53" s="21" t="s">
        <v>78</v>
      </c>
      <c r="B53" s="21" t="s">
        <v>45</v>
      </c>
      <c r="C53" s="21" t="s">
        <v>71</v>
      </c>
      <c r="D53" s="21">
        <v>1</v>
      </c>
      <c r="E53" s="21">
        <v>43</v>
      </c>
      <c r="F53" s="21">
        <v>0.1</v>
      </c>
      <c r="G53" s="21" t="s">
        <v>87</v>
      </c>
      <c r="H53" s="22">
        <v>349.31</v>
      </c>
      <c r="I53" s="23">
        <v>30.001999999999999</v>
      </c>
    </row>
    <row r="54" spans="1:9" ht="25.5" x14ac:dyDescent="0.25">
      <c r="A54" s="17" t="s">
        <v>78</v>
      </c>
      <c r="B54" s="17" t="s">
        <v>45</v>
      </c>
      <c r="C54" s="17" t="s">
        <v>71</v>
      </c>
      <c r="D54" s="17">
        <v>2</v>
      </c>
      <c r="E54" s="17">
        <v>44</v>
      </c>
      <c r="F54" s="17">
        <v>0.1</v>
      </c>
      <c r="G54" s="17" t="s">
        <v>87</v>
      </c>
      <c r="H54" s="18">
        <v>349.31</v>
      </c>
      <c r="I54" s="19">
        <v>30.001000000000001</v>
      </c>
    </row>
    <row r="55" spans="1:9" ht="25.5" x14ac:dyDescent="0.25">
      <c r="A55" s="21" t="s">
        <v>78</v>
      </c>
      <c r="B55" s="21" t="s">
        <v>45</v>
      </c>
      <c r="C55" s="21" t="s">
        <v>71</v>
      </c>
      <c r="D55" s="21">
        <v>3</v>
      </c>
      <c r="E55" s="21">
        <v>45</v>
      </c>
      <c r="F55" s="21">
        <v>0.1</v>
      </c>
      <c r="G55" s="21" t="s">
        <v>87</v>
      </c>
      <c r="H55" s="22">
        <v>349.31</v>
      </c>
      <c r="I55" s="23">
        <v>30.001000000000001</v>
      </c>
    </row>
    <row r="56" spans="1:9" ht="25.5" x14ac:dyDescent="0.25">
      <c r="A56" s="17" t="s">
        <v>78</v>
      </c>
      <c r="B56" s="17" t="s">
        <v>45</v>
      </c>
      <c r="C56" s="17" t="s">
        <v>71</v>
      </c>
      <c r="D56" s="17">
        <v>4</v>
      </c>
      <c r="E56" s="17">
        <v>46</v>
      </c>
      <c r="F56" s="17">
        <v>0.1</v>
      </c>
      <c r="G56" s="17" t="s">
        <v>87</v>
      </c>
      <c r="H56" s="18">
        <v>349.31</v>
      </c>
      <c r="I56" s="19">
        <v>30.001999999999999</v>
      </c>
    </row>
    <row r="57" spans="1:9" ht="25.5" x14ac:dyDescent="0.25">
      <c r="A57" s="21" t="s">
        <v>78</v>
      </c>
      <c r="B57" s="21" t="s">
        <v>45</v>
      </c>
      <c r="C57" s="21" t="s">
        <v>88</v>
      </c>
      <c r="D57" s="21">
        <v>0</v>
      </c>
      <c r="E57" s="21">
        <v>42</v>
      </c>
      <c r="F57" s="21">
        <v>0.25</v>
      </c>
      <c r="G57" s="21">
        <v>15</v>
      </c>
      <c r="H57" s="22">
        <v>349.31</v>
      </c>
      <c r="I57" s="23">
        <v>30.001000000000001</v>
      </c>
    </row>
    <row r="58" spans="1:9" ht="25.5" x14ac:dyDescent="0.25">
      <c r="A58" s="17" t="s">
        <v>78</v>
      </c>
      <c r="B58" s="17" t="s">
        <v>45</v>
      </c>
      <c r="C58" s="17" t="s">
        <v>88</v>
      </c>
      <c r="D58" s="17">
        <v>1</v>
      </c>
      <c r="E58" s="17">
        <v>43</v>
      </c>
      <c r="F58" s="17">
        <v>0.25</v>
      </c>
      <c r="G58" s="17">
        <v>15</v>
      </c>
      <c r="H58" s="18">
        <v>349.31</v>
      </c>
      <c r="I58" s="19">
        <v>30.001000000000001</v>
      </c>
    </row>
    <row r="59" spans="1:9" ht="25.5" x14ac:dyDescent="0.25">
      <c r="A59" s="21" t="s">
        <v>78</v>
      </c>
      <c r="B59" s="21" t="s">
        <v>45</v>
      </c>
      <c r="C59" s="21" t="s">
        <v>88</v>
      </c>
      <c r="D59" s="21">
        <v>2</v>
      </c>
      <c r="E59" s="21">
        <v>44</v>
      </c>
      <c r="F59" s="21">
        <v>0.25</v>
      </c>
      <c r="G59" s="21">
        <v>15</v>
      </c>
      <c r="H59" s="22">
        <v>349.31</v>
      </c>
      <c r="I59" s="23">
        <v>30.001000000000001</v>
      </c>
    </row>
    <row r="60" spans="1:9" ht="25.5" x14ac:dyDescent="0.25">
      <c r="A60" s="17" t="s">
        <v>78</v>
      </c>
      <c r="B60" s="17" t="s">
        <v>45</v>
      </c>
      <c r="C60" s="17" t="s">
        <v>88</v>
      </c>
      <c r="D60" s="17">
        <v>3</v>
      </c>
      <c r="E60" s="17">
        <v>45</v>
      </c>
      <c r="F60" s="17">
        <v>0.25</v>
      </c>
      <c r="G60" s="17">
        <v>15</v>
      </c>
      <c r="H60" s="18">
        <v>349.31</v>
      </c>
      <c r="I60" s="19">
        <v>30.001000000000001</v>
      </c>
    </row>
    <row r="61" spans="1:9" ht="25.5" x14ac:dyDescent="0.25">
      <c r="A61" s="21" t="s">
        <v>78</v>
      </c>
      <c r="B61" s="21" t="s">
        <v>45</v>
      </c>
      <c r="C61" s="21" t="s">
        <v>88</v>
      </c>
      <c r="D61" s="21">
        <v>4</v>
      </c>
      <c r="E61" s="21">
        <v>46</v>
      </c>
      <c r="F61" s="21">
        <v>0.25</v>
      </c>
      <c r="G61" s="21">
        <v>15</v>
      </c>
      <c r="H61" s="22">
        <v>349.31</v>
      </c>
      <c r="I61" s="23">
        <v>30</v>
      </c>
    </row>
    <row r="62" spans="1:9" ht="25.5" x14ac:dyDescent="0.25">
      <c r="A62" s="17" t="s">
        <v>53</v>
      </c>
      <c r="B62" s="17" t="s">
        <v>52</v>
      </c>
      <c r="C62" s="17" t="s">
        <v>71</v>
      </c>
      <c r="D62" s="17">
        <v>0</v>
      </c>
      <c r="E62" s="17">
        <v>42</v>
      </c>
      <c r="F62" s="17">
        <v>0.1</v>
      </c>
      <c r="G62" s="17" t="s">
        <v>87</v>
      </c>
      <c r="H62" s="18">
        <v>7722.22</v>
      </c>
      <c r="I62" s="19">
        <v>30.335000000000001</v>
      </c>
    </row>
    <row r="63" spans="1:9" ht="25.5" x14ac:dyDescent="0.25">
      <c r="A63" s="21" t="s">
        <v>53</v>
      </c>
      <c r="B63" s="21" t="s">
        <v>52</v>
      </c>
      <c r="C63" s="21" t="s">
        <v>71</v>
      </c>
      <c r="D63" s="21">
        <v>1</v>
      </c>
      <c r="E63" s="21">
        <v>43</v>
      </c>
      <c r="F63" s="21">
        <v>0.1</v>
      </c>
      <c r="G63" s="21" t="s">
        <v>87</v>
      </c>
      <c r="H63" s="22">
        <v>7699.24</v>
      </c>
      <c r="I63" s="23">
        <v>30.103999999999999</v>
      </c>
    </row>
    <row r="64" spans="1:9" ht="25.5" x14ac:dyDescent="0.25">
      <c r="A64" s="17" t="s">
        <v>53</v>
      </c>
      <c r="B64" s="17" t="s">
        <v>52</v>
      </c>
      <c r="C64" s="17" t="s">
        <v>71</v>
      </c>
      <c r="D64" s="17">
        <v>2</v>
      </c>
      <c r="E64" s="17">
        <v>44</v>
      </c>
      <c r="F64" s="17">
        <v>0.1</v>
      </c>
      <c r="G64" s="17" t="s">
        <v>87</v>
      </c>
      <c r="H64" s="18">
        <v>7711.08</v>
      </c>
      <c r="I64" s="19">
        <v>30.609000000000002</v>
      </c>
    </row>
    <row r="65" spans="1:9" ht="25.5" x14ac:dyDescent="0.25">
      <c r="A65" s="21" t="s">
        <v>53</v>
      </c>
      <c r="B65" s="21" t="s">
        <v>52</v>
      </c>
      <c r="C65" s="21" t="s">
        <v>71</v>
      </c>
      <c r="D65" s="21">
        <v>3</v>
      </c>
      <c r="E65" s="21">
        <v>45</v>
      </c>
      <c r="F65" s="21">
        <v>0.1</v>
      </c>
      <c r="G65" s="21" t="s">
        <v>87</v>
      </c>
      <c r="H65" s="22">
        <v>7668.9</v>
      </c>
      <c r="I65" s="23">
        <v>30.004000000000001</v>
      </c>
    </row>
    <row r="66" spans="1:9" ht="25.5" x14ac:dyDescent="0.25">
      <c r="A66" s="17" t="s">
        <v>53</v>
      </c>
      <c r="B66" s="17" t="s">
        <v>52</v>
      </c>
      <c r="C66" s="17" t="s">
        <v>71</v>
      </c>
      <c r="D66" s="17">
        <v>4</v>
      </c>
      <c r="E66" s="17">
        <v>46</v>
      </c>
      <c r="F66" s="17">
        <v>0.1</v>
      </c>
      <c r="G66" s="17" t="s">
        <v>87</v>
      </c>
      <c r="H66" s="18">
        <v>7676.06</v>
      </c>
      <c r="I66" s="19">
        <v>30.009</v>
      </c>
    </row>
    <row r="67" spans="1:9" ht="25.5" x14ac:dyDescent="0.25">
      <c r="A67" s="21" t="s">
        <v>53</v>
      </c>
      <c r="B67" s="21" t="s">
        <v>52</v>
      </c>
      <c r="C67" s="21" t="s">
        <v>88</v>
      </c>
      <c r="D67" s="21">
        <v>0</v>
      </c>
      <c r="E67" s="21">
        <v>42</v>
      </c>
      <c r="F67" s="21">
        <v>0.9</v>
      </c>
      <c r="G67" s="21">
        <v>10</v>
      </c>
      <c r="H67" s="22">
        <v>7673.74</v>
      </c>
      <c r="I67" s="23">
        <v>30.036000000000001</v>
      </c>
    </row>
    <row r="68" spans="1:9" ht="25.5" x14ac:dyDescent="0.25">
      <c r="A68" s="17" t="s">
        <v>53</v>
      </c>
      <c r="B68" s="17" t="s">
        <v>52</v>
      </c>
      <c r="C68" s="17" t="s">
        <v>88</v>
      </c>
      <c r="D68" s="17">
        <v>1</v>
      </c>
      <c r="E68" s="17">
        <v>43</v>
      </c>
      <c r="F68" s="17">
        <v>0.9</v>
      </c>
      <c r="G68" s="17">
        <v>10</v>
      </c>
      <c r="H68" s="18">
        <v>7756.24</v>
      </c>
      <c r="I68" s="19">
        <v>30.015999999999998</v>
      </c>
    </row>
    <row r="69" spans="1:9" ht="25.5" x14ac:dyDescent="0.25">
      <c r="A69" s="21" t="s">
        <v>53</v>
      </c>
      <c r="B69" s="21" t="s">
        <v>52</v>
      </c>
      <c r="C69" s="21" t="s">
        <v>88</v>
      </c>
      <c r="D69" s="21">
        <v>2</v>
      </c>
      <c r="E69" s="21">
        <v>44</v>
      </c>
      <c r="F69" s="21">
        <v>0.9</v>
      </c>
      <c r="G69" s="21">
        <v>10</v>
      </c>
      <c r="H69" s="22">
        <v>7688.36</v>
      </c>
      <c r="I69" s="23">
        <v>30.045999999999999</v>
      </c>
    </row>
    <row r="70" spans="1:9" ht="25.5" x14ac:dyDescent="0.25">
      <c r="A70" s="17" t="s">
        <v>53</v>
      </c>
      <c r="B70" s="17" t="s">
        <v>52</v>
      </c>
      <c r="C70" s="17" t="s">
        <v>88</v>
      </c>
      <c r="D70" s="17">
        <v>3</v>
      </c>
      <c r="E70" s="17">
        <v>45</v>
      </c>
      <c r="F70" s="17">
        <v>0.9</v>
      </c>
      <c r="G70" s="17">
        <v>10</v>
      </c>
      <c r="H70" s="18">
        <v>7648.87</v>
      </c>
      <c r="I70" s="19">
        <v>30.012</v>
      </c>
    </row>
    <row r="71" spans="1:9" ht="25.5" x14ac:dyDescent="0.25">
      <c r="A71" s="21" t="s">
        <v>53</v>
      </c>
      <c r="B71" s="21" t="s">
        <v>52</v>
      </c>
      <c r="C71" s="21" t="s">
        <v>88</v>
      </c>
      <c r="D71" s="21">
        <v>4</v>
      </c>
      <c r="E71" s="21">
        <v>46</v>
      </c>
      <c r="F71" s="21">
        <v>0.9</v>
      </c>
      <c r="G71" s="21">
        <v>10</v>
      </c>
      <c r="H71" s="22">
        <v>7704.88</v>
      </c>
      <c r="I71" s="23">
        <v>30.039000000000001</v>
      </c>
    </row>
    <row r="72" spans="1:9" ht="25.5" x14ac:dyDescent="0.25">
      <c r="A72" s="17" t="s">
        <v>54</v>
      </c>
      <c r="B72" s="17" t="s">
        <v>52</v>
      </c>
      <c r="C72" s="17" t="s">
        <v>71</v>
      </c>
      <c r="D72" s="17">
        <v>0</v>
      </c>
      <c r="E72" s="17">
        <v>42</v>
      </c>
      <c r="F72" s="17">
        <v>0.1</v>
      </c>
      <c r="G72" s="17" t="s">
        <v>87</v>
      </c>
      <c r="H72" s="18">
        <v>7678.98</v>
      </c>
      <c r="I72" s="19">
        <v>30.827999999999999</v>
      </c>
    </row>
    <row r="73" spans="1:9" ht="25.5" x14ac:dyDescent="0.25">
      <c r="A73" s="21" t="s">
        <v>54</v>
      </c>
      <c r="B73" s="21" t="s">
        <v>52</v>
      </c>
      <c r="C73" s="21" t="s">
        <v>71</v>
      </c>
      <c r="D73" s="21">
        <v>1</v>
      </c>
      <c r="E73" s="21">
        <v>43</v>
      </c>
      <c r="F73" s="21">
        <v>0.1</v>
      </c>
      <c r="G73" s="21" t="s">
        <v>87</v>
      </c>
      <c r="H73" s="22">
        <v>7699.37</v>
      </c>
      <c r="I73" s="23">
        <v>30.007999999999999</v>
      </c>
    </row>
    <row r="74" spans="1:9" ht="25.5" x14ac:dyDescent="0.25">
      <c r="A74" s="17" t="s">
        <v>54</v>
      </c>
      <c r="B74" s="17" t="s">
        <v>52</v>
      </c>
      <c r="C74" s="17" t="s">
        <v>71</v>
      </c>
      <c r="D74" s="17">
        <v>2</v>
      </c>
      <c r="E74" s="17">
        <v>44</v>
      </c>
      <c r="F74" s="17">
        <v>0.1</v>
      </c>
      <c r="G74" s="17" t="s">
        <v>87</v>
      </c>
      <c r="H74" s="18">
        <v>7671.91</v>
      </c>
      <c r="I74" s="19">
        <v>30.812999999999999</v>
      </c>
    </row>
    <row r="75" spans="1:9" ht="25.5" x14ac:dyDescent="0.25">
      <c r="A75" s="21" t="s">
        <v>54</v>
      </c>
      <c r="B75" s="21" t="s">
        <v>52</v>
      </c>
      <c r="C75" s="21" t="s">
        <v>71</v>
      </c>
      <c r="D75" s="21">
        <v>3</v>
      </c>
      <c r="E75" s="21">
        <v>45</v>
      </c>
      <c r="F75" s="21">
        <v>0.1</v>
      </c>
      <c r="G75" s="21" t="s">
        <v>87</v>
      </c>
      <c r="H75" s="22">
        <v>7690.51</v>
      </c>
      <c r="I75" s="23">
        <v>30.052</v>
      </c>
    </row>
    <row r="76" spans="1:9" ht="25.5" x14ac:dyDescent="0.25">
      <c r="A76" s="17" t="s">
        <v>54</v>
      </c>
      <c r="B76" s="17" t="s">
        <v>52</v>
      </c>
      <c r="C76" s="17" t="s">
        <v>71</v>
      </c>
      <c r="D76" s="17">
        <v>4</v>
      </c>
      <c r="E76" s="17">
        <v>46</v>
      </c>
      <c r="F76" s="17">
        <v>0.1</v>
      </c>
      <c r="G76" s="17" t="s">
        <v>87</v>
      </c>
      <c r="H76" s="18">
        <v>7746</v>
      </c>
      <c r="I76" s="19">
        <v>30.263999999999999</v>
      </c>
    </row>
    <row r="77" spans="1:9" ht="25.5" x14ac:dyDescent="0.25">
      <c r="A77" s="21" t="s">
        <v>54</v>
      </c>
      <c r="B77" s="21" t="s">
        <v>52</v>
      </c>
      <c r="C77" s="21" t="s">
        <v>88</v>
      </c>
      <c r="D77" s="21">
        <v>0</v>
      </c>
      <c r="E77" s="21">
        <v>42</v>
      </c>
      <c r="F77" s="21">
        <v>0.9</v>
      </c>
      <c r="G77" s="21">
        <v>10</v>
      </c>
      <c r="H77" s="22">
        <v>7662.45</v>
      </c>
      <c r="I77" s="23">
        <v>30.013999999999999</v>
      </c>
    </row>
    <row r="78" spans="1:9" ht="25.5" x14ac:dyDescent="0.25">
      <c r="A78" s="17" t="s">
        <v>54</v>
      </c>
      <c r="B78" s="17" t="s">
        <v>52</v>
      </c>
      <c r="C78" s="17" t="s">
        <v>88</v>
      </c>
      <c r="D78" s="17">
        <v>1</v>
      </c>
      <c r="E78" s="17">
        <v>43</v>
      </c>
      <c r="F78" s="17">
        <v>0.9</v>
      </c>
      <c r="G78" s="17">
        <v>10</v>
      </c>
      <c r="H78" s="18">
        <v>7755.23</v>
      </c>
      <c r="I78" s="19">
        <v>30.024999999999999</v>
      </c>
    </row>
    <row r="79" spans="1:9" ht="25.5" x14ac:dyDescent="0.25">
      <c r="A79" s="21" t="s">
        <v>54</v>
      </c>
      <c r="B79" s="21" t="s">
        <v>52</v>
      </c>
      <c r="C79" s="21" t="s">
        <v>88</v>
      </c>
      <c r="D79" s="21">
        <v>2</v>
      </c>
      <c r="E79" s="21">
        <v>44</v>
      </c>
      <c r="F79" s="21">
        <v>0.9</v>
      </c>
      <c r="G79" s="21">
        <v>10</v>
      </c>
      <c r="H79" s="22">
        <v>7578.52</v>
      </c>
      <c r="I79" s="23">
        <v>30.013999999999999</v>
      </c>
    </row>
    <row r="80" spans="1:9" ht="25.5" x14ac:dyDescent="0.25">
      <c r="A80" s="17" t="s">
        <v>54</v>
      </c>
      <c r="B80" s="17" t="s">
        <v>52</v>
      </c>
      <c r="C80" s="17" t="s">
        <v>88</v>
      </c>
      <c r="D80" s="17">
        <v>3</v>
      </c>
      <c r="E80" s="17">
        <v>45</v>
      </c>
      <c r="F80" s="17">
        <v>0.9</v>
      </c>
      <c r="G80" s="17">
        <v>10</v>
      </c>
      <c r="H80" s="18">
        <v>7619.24</v>
      </c>
      <c r="I80" s="19">
        <v>30.026</v>
      </c>
    </row>
    <row r="81" spans="1:9" ht="25.5" x14ac:dyDescent="0.25">
      <c r="A81" s="21" t="s">
        <v>54</v>
      </c>
      <c r="B81" s="21" t="s">
        <v>52</v>
      </c>
      <c r="C81" s="21" t="s">
        <v>88</v>
      </c>
      <c r="D81" s="21">
        <v>4</v>
      </c>
      <c r="E81" s="21">
        <v>46</v>
      </c>
      <c r="F81" s="21">
        <v>0.9</v>
      </c>
      <c r="G81" s="21">
        <v>10</v>
      </c>
      <c r="H81" s="22">
        <v>7560.8</v>
      </c>
      <c r="I81" s="23">
        <v>30.015999999999998</v>
      </c>
    </row>
    <row r="82" spans="1:9" ht="25.5" x14ac:dyDescent="0.25">
      <c r="A82" s="17" t="s">
        <v>55</v>
      </c>
      <c r="B82" s="17" t="s">
        <v>52</v>
      </c>
      <c r="C82" s="17" t="s">
        <v>71</v>
      </c>
      <c r="D82" s="17">
        <v>0</v>
      </c>
      <c r="E82" s="17">
        <v>42</v>
      </c>
      <c r="F82" s="17">
        <v>0.1</v>
      </c>
      <c r="G82" s="17" t="s">
        <v>87</v>
      </c>
      <c r="H82" s="18">
        <v>7752.31</v>
      </c>
      <c r="I82" s="19">
        <v>30.135000000000002</v>
      </c>
    </row>
    <row r="83" spans="1:9" ht="25.5" x14ac:dyDescent="0.25">
      <c r="A83" s="21" t="s">
        <v>55</v>
      </c>
      <c r="B83" s="21" t="s">
        <v>52</v>
      </c>
      <c r="C83" s="21" t="s">
        <v>71</v>
      </c>
      <c r="D83" s="21">
        <v>1</v>
      </c>
      <c r="E83" s="21">
        <v>43</v>
      </c>
      <c r="F83" s="21">
        <v>0.1</v>
      </c>
      <c r="G83" s="21" t="s">
        <v>87</v>
      </c>
      <c r="H83" s="22">
        <v>7717.46</v>
      </c>
      <c r="I83" s="23">
        <v>30.193999999999999</v>
      </c>
    </row>
    <row r="84" spans="1:9" ht="25.5" x14ac:dyDescent="0.25">
      <c r="A84" s="17" t="s">
        <v>55</v>
      </c>
      <c r="B84" s="17" t="s">
        <v>52</v>
      </c>
      <c r="C84" s="17" t="s">
        <v>71</v>
      </c>
      <c r="D84" s="17">
        <v>2</v>
      </c>
      <c r="E84" s="17">
        <v>44</v>
      </c>
      <c r="F84" s="17">
        <v>0.1</v>
      </c>
      <c r="G84" s="17" t="s">
        <v>87</v>
      </c>
      <c r="H84" s="18">
        <v>7694.65</v>
      </c>
      <c r="I84" s="19">
        <v>30.134</v>
      </c>
    </row>
    <row r="85" spans="1:9" ht="25.5" x14ac:dyDescent="0.25">
      <c r="A85" s="21" t="s">
        <v>55</v>
      </c>
      <c r="B85" s="21" t="s">
        <v>52</v>
      </c>
      <c r="C85" s="21" t="s">
        <v>71</v>
      </c>
      <c r="D85" s="21">
        <v>3</v>
      </c>
      <c r="E85" s="21">
        <v>45</v>
      </c>
      <c r="F85" s="21">
        <v>0.1</v>
      </c>
      <c r="G85" s="21" t="s">
        <v>87</v>
      </c>
      <c r="H85" s="22">
        <v>7681.87</v>
      </c>
      <c r="I85" s="23">
        <v>30.16</v>
      </c>
    </row>
    <row r="86" spans="1:9" ht="25.5" x14ac:dyDescent="0.25">
      <c r="A86" s="17" t="s">
        <v>55</v>
      </c>
      <c r="B86" s="17" t="s">
        <v>52</v>
      </c>
      <c r="C86" s="17" t="s">
        <v>71</v>
      </c>
      <c r="D86" s="17">
        <v>4</v>
      </c>
      <c r="E86" s="17">
        <v>46</v>
      </c>
      <c r="F86" s="17">
        <v>0.1</v>
      </c>
      <c r="G86" s="17" t="s">
        <v>87</v>
      </c>
      <c r="H86" s="18">
        <v>7714.53</v>
      </c>
      <c r="I86" s="19">
        <v>30.402000000000001</v>
      </c>
    </row>
    <row r="87" spans="1:9" ht="25.5" x14ac:dyDescent="0.25">
      <c r="A87" s="21" t="s">
        <v>55</v>
      </c>
      <c r="B87" s="21" t="s">
        <v>52</v>
      </c>
      <c r="C87" s="21" t="s">
        <v>88</v>
      </c>
      <c r="D87" s="21">
        <v>0</v>
      </c>
      <c r="E87" s="21">
        <v>42</v>
      </c>
      <c r="F87" s="21">
        <v>0.9</v>
      </c>
      <c r="G87" s="21">
        <v>10</v>
      </c>
      <c r="H87" s="22">
        <v>7726.58</v>
      </c>
      <c r="I87" s="23">
        <v>30.006</v>
      </c>
    </row>
    <row r="88" spans="1:9" ht="25.5" x14ac:dyDescent="0.25">
      <c r="A88" s="17" t="s">
        <v>55</v>
      </c>
      <c r="B88" s="17" t="s">
        <v>52</v>
      </c>
      <c r="C88" s="17" t="s">
        <v>88</v>
      </c>
      <c r="D88" s="17">
        <v>1</v>
      </c>
      <c r="E88" s="17">
        <v>43</v>
      </c>
      <c r="F88" s="17">
        <v>0.9</v>
      </c>
      <c r="G88" s="17">
        <v>10</v>
      </c>
      <c r="H88" s="18">
        <v>7710.71</v>
      </c>
      <c r="I88" s="19">
        <v>30.036999999999999</v>
      </c>
    </row>
    <row r="89" spans="1:9" ht="25.5" x14ac:dyDescent="0.25">
      <c r="A89" s="21" t="s">
        <v>55</v>
      </c>
      <c r="B89" s="21" t="s">
        <v>52</v>
      </c>
      <c r="C89" s="21" t="s">
        <v>88</v>
      </c>
      <c r="D89" s="21">
        <v>2</v>
      </c>
      <c r="E89" s="21">
        <v>44</v>
      </c>
      <c r="F89" s="21">
        <v>0.9</v>
      </c>
      <c r="G89" s="21">
        <v>10</v>
      </c>
      <c r="H89" s="22">
        <v>7690.74</v>
      </c>
      <c r="I89" s="23">
        <v>30.038</v>
      </c>
    </row>
    <row r="90" spans="1:9" ht="25.5" x14ac:dyDescent="0.25">
      <c r="A90" s="17" t="s">
        <v>55</v>
      </c>
      <c r="B90" s="17" t="s">
        <v>52</v>
      </c>
      <c r="C90" s="17" t="s">
        <v>88</v>
      </c>
      <c r="D90" s="17">
        <v>3</v>
      </c>
      <c r="E90" s="17">
        <v>45</v>
      </c>
      <c r="F90" s="17">
        <v>0.9</v>
      </c>
      <c r="G90" s="17">
        <v>10</v>
      </c>
      <c r="H90" s="18">
        <v>7684.67</v>
      </c>
      <c r="I90" s="19">
        <v>30.016999999999999</v>
      </c>
    </row>
    <row r="91" spans="1:9" ht="25.5" x14ac:dyDescent="0.25">
      <c r="A91" s="21" t="s">
        <v>55</v>
      </c>
      <c r="B91" s="21" t="s">
        <v>52</v>
      </c>
      <c r="C91" s="21" t="s">
        <v>88</v>
      </c>
      <c r="D91" s="21">
        <v>4</v>
      </c>
      <c r="E91" s="21">
        <v>46</v>
      </c>
      <c r="F91" s="21">
        <v>0.9</v>
      </c>
      <c r="G91" s="21">
        <v>10</v>
      </c>
      <c r="H91" s="22">
        <v>7643.33</v>
      </c>
      <c r="I91" s="23">
        <v>30.045000000000002</v>
      </c>
    </row>
    <row r="92" spans="1:9" ht="25.5" x14ac:dyDescent="0.25">
      <c r="A92" s="17" t="s">
        <v>56</v>
      </c>
      <c r="B92" s="17" t="s">
        <v>52</v>
      </c>
      <c r="C92" s="17" t="s">
        <v>71</v>
      </c>
      <c r="D92" s="17">
        <v>0</v>
      </c>
      <c r="E92" s="17">
        <v>42</v>
      </c>
      <c r="F92" s="17">
        <v>0.1</v>
      </c>
      <c r="G92" s="17" t="s">
        <v>87</v>
      </c>
      <c r="H92" s="18">
        <v>7716.37</v>
      </c>
      <c r="I92" s="19">
        <v>30.244</v>
      </c>
    </row>
    <row r="93" spans="1:9" ht="25.5" x14ac:dyDescent="0.25">
      <c r="A93" s="21" t="s">
        <v>56</v>
      </c>
      <c r="B93" s="21" t="s">
        <v>52</v>
      </c>
      <c r="C93" s="21" t="s">
        <v>71</v>
      </c>
      <c r="D93" s="21">
        <v>1</v>
      </c>
      <c r="E93" s="21">
        <v>43</v>
      </c>
      <c r="F93" s="21">
        <v>0.1</v>
      </c>
      <c r="G93" s="21" t="s">
        <v>87</v>
      </c>
      <c r="H93" s="22">
        <v>7749.4</v>
      </c>
      <c r="I93" s="23">
        <v>30.658000000000001</v>
      </c>
    </row>
    <row r="94" spans="1:9" ht="25.5" x14ac:dyDescent="0.25">
      <c r="A94" s="17" t="s">
        <v>56</v>
      </c>
      <c r="B94" s="17" t="s">
        <v>52</v>
      </c>
      <c r="C94" s="17" t="s">
        <v>71</v>
      </c>
      <c r="D94" s="17">
        <v>2</v>
      </c>
      <c r="E94" s="17">
        <v>44</v>
      </c>
      <c r="F94" s="17">
        <v>0.1</v>
      </c>
      <c r="G94" s="17" t="s">
        <v>87</v>
      </c>
      <c r="H94" s="18">
        <v>7728.95</v>
      </c>
      <c r="I94" s="19">
        <v>30.332999999999998</v>
      </c>
    </row>
    <row r="95" spans="1:9" ht="25.5" x14ac:dyDescent="0.25">
      <c r="A95" s="21" t="s">
        <v>56</v>
      </c>
      <c r="B95" s="21" t="s">
        <v>52</v>
      </c>
      <c r="C95" s="21" t="s">
        <v>71</v>
      </c>
      <c r="D95" s="21">
        <v>3</v>
      </c>
      <c r="E95" s="21">
        <v>45</v>
      </c>
      <c r="F95" s="21">
        <v>0.1</v>
      </c>
      <c r="G95" s="21" t="s">
        <v>87</v>
      </c>
      <c r="H95" s="22">
        <v>7731.96</v>
      </c>
      <c r="I95" s="23">
        <v>30.196999999999999</v>
      </c>
    </row>
    <row r="96" spans="1:9" ht="25.5" x14ac:dyDescent="0.25">
      <c r="A96" s="17" t="s">
        <v>56</v>
      </c>
      <c r="B96" s="17" t="s">
        <v>52</v>
      </c>
      <c r="C96" s="17" t="s">
        <v>71</v>
      </c>
      <c r="D96" s="17">
        <v>4</v>
      </c>
      <c r="E96" s="17">
        <v>46</v>
      </c>
      <c r="F96" s="17">
        <v>0.1</v>
      </c>
      <c r="G96" s="17" t="s">
        <v>87</v>
      </c>
      <c r="H96" s="18">
        <v>7727.54</v>
      </c>
      <c r="I96" s="19">
        <v>30.39</v>
      </c>
    </row>
    <row r="97" spans="1:9" ht="25.5" x14ac:dyDescent="0.25">
      <c r="A97" s="21" t="s">
        <v>56</v>
      </c>
      <c r="B97" s="21" t="s">
        <v>52</v>
      </c>
      <c r="C97" s="21" t="s">
        <v>88</v>
      </c>
      <c r="D97" s="21">
        <v>0</v>
      </c>
      <c r="E97" s="21">
        <v>42</v>
      </c>
      <c r="F97" s="21">
        <v>0.9</v>
      </c>
      <c r="G97" s="21">
        <v>10</v>
      </c>
      <c r="H97" s="22">
        <v>7726.46</v>
      </c>
      <c r="I97" s="23">
        <v>30.013000000000002</v>
      </c>
    </row>
    <row r="98" spans="1:9" ht="25.5" x14ac:dyDescent="0.25">
      <c r="A98" s="17" t="s">
        <v>56</v>
      </c>
      <c r="B98" s="17" t="s">
        <v>52</v>
      </c>
      <c r="C98" s="17" t="s">
        <v>88</v>
      </c>
      <c r="D98" s="17">
        <v>1</v>
      </c>
      <c r="E98" s="17">
        <v>43</v>
      </c>
      <c r="F98" s="17">
        <v>0.9</v>
      </c>
      <c r="G98" s="17">
        <v>10</v>
      </c>
      <c r="H98" s="18">
        <v>7696.73</v>
      </c>
      <c r="I98" s="19">
        <v>30.010999999999999</v>
      </c>
    </row>
    <row r="99" spans="1:9" ht="25.5" x14ac:dyDescent="0.25">
      <c r="A99" s="21" t="s">
        <v>56</v>
      </c>
      <c r="B99" s="21" t="s">
        <v>52</v>
      </c>
      <c r="C99" s="21" t="s">
        <v>88</v>
      </c>
      <c r="D99" s="21">
        <v>2</v>
      </c>
      <c r="E99" s="21">
        <v>44</v>
      </c>
      <c r="F99" s="21">
        <v>0.9</v>
      </c>
      <c r="G99" s="21">
        <v>10</v>
      </c>
      <c r="H99" s="22">
        <v>7672.74</v>
      </c>
      <c r="I99" s="23">
        <v>30.048999999999999</v>
      </c>
    </row>
    <row r="100" spans="1:9" ht="25.5" x14ac:dyDescent="0.25">
      <c r="A100" s="17" t="s">
        <v>56</v>
      </c>
      <c r="B100" s="17" t="s">
        <v>52</v>
      </c>
      <c r="C100" s="17" t="s">
        <v>88</v>
      </c>
      <c r="D100" s="17">
        <v>3</v>
      </c>
      <c r="E100" s="17">
        <v>45</v>
      </c>
      <c r="F100" s="17">
        <v>0.9</v>
      </c>
      <c r="G100" s="17">
        <v>10</v>
      </c>
      <c r="H100" s="18">
        <v>7653.43</v>
      </c>
      <c r="I100" s="19">
        <v>30.026</v>
      </c>
    </row>
    <row r="101" spans="1:9" ht="25.5" x14ac:dyDescent="0.25">
      <c r="A101" s="21" t="s">
        <v>56</v>
      </c>
      <c r="B101" s="21" t="s">
        <v>52</v>
      </c>
      <c r="C101" s="21" t="s">
        <v>88</v>
      </c>
      <c r="D101" s="21">
        <v>4</v>
      </c>
      <c r="E101" s="21">
        <v>46</v>
      </c>
      <c r="F101" s="21">
        <v>0.9</v>
      </c>
      <c r="G101" s="21">
        <v>10</v>
      </c>
      <c r="H101" s="22">
        <v>7755.2</v>
      </c>
      <c r="I101" s="23">
        <v>30.042999999999999</v>
      </c>
    </row>
    <row r="102" spans="1:9" ht="25.5" x14ac:dyDescent="0.25">
      <c r="A102" s="17" t="s">
        <v>57</v>
      </c>
      <c r="B102" s="17" t="s">
        <v>52</v>
      </c>
      <c r="C102" s="17" t="s">
        <v>71</v>
      </c>
      <c r="D102" s="17">
        <v>0</v>
      </c>
      <c r="E102" s="17">
        <v>42</v>
      </c>
      <c r="F102" s="17">
        <v>0.1</v>
      </c>
      <c r="G102" s="17" t="s">
        <v>87</v>
      </c>
      <c r="H102" s="18">
        <v>7724.21</v>
      </c>
      <c r="I102" s="19">
        <v>30.099</v>
      </c>
    </row>
    <row r="103" spans="1:9" ht="25.5" x14ac:dyDescent="0.25">
      <c r="A103" s="21" t="s">
        <v>57</v>
      </c>
      <c r="B103" s="21" t="s">
        <v>52</v>
      </c>
      <c r="C103" s="21" t="s">
        <v>71</v>
      </c>
      <c r="D103" s="21">
        <v>1</v>
      </c>
      <c r="E103" s="21">
        <v>43</v>
      </c>
      <c r="F103" s="21">
        <v>0.1</v>
      </c>
      <c r="G103" s="21" t="s">
        <v>87</v>
      </c>
      <c r="H103" s="22">
        <v>7739.22</v>
      </c>
      <c r="I103" s="23">
        <v>30.132000000000001</v>
      </c>
    </row>
    <row r="104" spans="1:9" ht="25.5" x14ac:dyDescent="0.25">
      <c r="A104" s="17" t="s">
        <v>57</v>
      </c>
      <c r="B104" s="17" t="s">
        <v>52</v>
      </c>
      <c r="C104" s="17" t="s">
        <v>71</v>
      </c>
      <c r="D104" s="17">
        <v>2</v>
      </c>
      <c r="E104" s="17">
        <v>44</v>
      </c>
      <c r="F104" s="17">
        <v>0.1</v>
      </c>
      <c r="G104" s="17" t="s">
        <v>87</v>
      </c>
      <c r="H104" s="18">
        <v>7739.85</v>
      </c>
      <c r="I104" s="19">
        <v>30.375</v>
      </c>
    </row>
    <row r="105" spans="1:9" ht="25.5" x14ac:dyDescent="0.25">
      <c r="A105" s="21" t="s">
        <v>57</v>
      </c>
      <c r="B105" s="21" t="s">
        <v>52</v>
      </c>
      <c r="C105" s="21" t="s">
        <v>71</v>
      </c>
      <c r="D105" s="21">
        <v>3</v>
      </c>
      <c r="E105" s="21">
        <v>45</v>
      </c>
      <c r="F105" s="21">
        <v>0.1</v>
      </c>
      <c r="G105" s="21" t="s">
        <v>87</v>
      </c>
      <c r="H105" s="22">
        <v>7748.34</v>
      </c>
      <c r="I105" s="23">
        <v>30.109000000000002</v>
      </c>
    </row>
    <row r="106" spans="1:9" ht="25.5" x14ac:dyDescent="0.25">
      <c r="A106" s="17" t="s">
        <v>57</v>
      </c>
      <c r="B106" s="17" t="s">
        <v>52</v>
      </c>
      <c r="C106" s="17" t="s">
        <v>71</v>
      </c>
      <c r="D106" s="17">
        <v>4</v>
      </c>
      <c r="E106" s="17">
        <v>46</v>
      </c>
      <c r="F106" s="17">
        <v>0.1</v>
      </c>
      <c r="G106" s="17" t="s">
        <v>87</v>
      </c>
      <c r="H106" s="18">
        <v>7736.96</v>
      </c>
      <c r="I106" s="19">
        <v>30.841000000000001</v>
      </c>
    </row>
    <row r="107" spans="1:9" ht="25.5" x14ac:dyDescent="0.25">
      <c r="A107" s="21" t="s">
        <v>57</v>
      </c>
      <c r="B107" s="21" t="s">
        <v>52</v>
      </c>
      <c r="C107" s="21" t="s">
        <v>88</v>
      </c>
      <c r="D107" s="21">
        <v>0</v>
      </c>
      <c r="E107" s="21">
        <v>42</v>
      </c>
      <c r="F107" s="21">
        <v>0.9</v>
      </c>
      <c r="G107" s="21">
        <v>10</v>
      </c>
      <c r="H107" s="22">
        <v>7769.29</v>
      </c>
      <c r="I107" s="23">
        <v>30.004999999999999</v>
      </c>
    </row>
    <row r="108" spans="1:9" ht="25.5" x14ac:dyDescent="0.25">
      <c r="A108" s="17" t="s">
        <v>57</v>
      </c>
      <c r="B108" s="17" t="s">
        <v>52</v>
      </c>
      <c r="C108" s="17" t="s">
        <v>88</v>
      </c>
      <c r="D108" s="17">
        <v>1</v>
      </c>
      <c r="E108" s="17">
        <v>43</v>
      </c>
      <c r="F108" s="17">
        <v>0.9</v>
      </c>
      <c r="G108" s="17">
        <v>10</v>
      </c>
      <c r="H108" s="18">
        <v>7769.48</v>
      </c>
      <c r="I108" s="19">
        <v>30.045999999999999</v>
      </c>
    </row>
    <row r="109" spans="1:9" ht="25.5" x14ac:dyDescent="0.25">
      <c r="A109" s="21" t="s">
        <v>57</v>
      </c>
      <c r="B109" s="21" t="s">
        <v>52</v>
      </c>
      <c r="C109" s="21" t="s">
        <v>88</v>
      </c>
      <c r="D109" s="21">
        <v>2</v>
      </c>
      <c r="E109" s="21">
        <v>44</v>
      </c>
      <c r="F109" s="21">
        <v>0.9</v>
      </c>
      <c r="G109" s="21">
        <v>10</v>
      </c>
      <c r="H109" s="22">
        <v>7780.22</v>
      </c>
      <c r="I109" s="23">
        <v>30.04</v>
      </c>
    </row>
    <row r="110" spans="1:9" ht="25.5" x14ac:dyDescent="0.25">
      <c r="A110" s="17" t="s">
        <v>57</v>
      </c>
      <c r="B110" s="17" t="s">
        <v>52</v>
      </c>
      <c r="C110" s="17" t="s">
        <v>88</v>
      </c>
      <c r="D110" s="17">
        <v>3</v>
      </c>
      <c r="E110" s="17">
        <v>45</v>
      </c>
      <c r="F110" s="17">
        <v>0.9</v>
      </c>
      <c r="G110" s="17">
        <v>10</v>
      </c>
      <c r="H110" s="18">
        <v>7728.95</v>
      </c>
      <c r="I110" s="19">
        <v>30.045000000000002</v>
      </c>
    </row>
    <row r="111" spans="1:9" ht="25.5" x14ac:dyDescent="0.25">
      <c r="A111" s="21" t="s">
        <v>57</v>
      </c>
      <c r="B111" s="21" t="s">
        <v>52</v>
      </c>
      <c r="C111" s="21" t="s">
        <v>88</v>
      </c>
      <c r="D111" s="21">
        <v>4</v>
      </c>
      <c r="E111" s="21">
        <v>46</v>
      </c>
      <c r="F111" s="21">
        <v>0.9</v>
      </c>
      <c r="G111" s="21">
        <v>10</v>
      </c>
      <c r="H111" s="22">
        <v>7691.81</v>
      </c>
      <c r="I111" s="23">
        <v>30.02</v>
      </c>
    </row>
    <row r="112" spans="1:9" ht="25.5" x14ac:dyDescent="0.25">
      <c r="A112" s="17" t="s">
        <v>81</v>
      </c>
      <c r="B112" s="17" t="s">
        <v>52</v>
      </c>
      <c r="C112" s="17" t="s">
        <v>71</v>
      </c>
      <c r="D112" s="17">
        <v>0</v>
      </c>
      <c r="E112" s="17">
        <v>42</v>
      </c>
      <c r="F112" s="17">
        <v>0.1</v>
      </c>
      <c r="G112" s="17" t="s">
        <v>87</v>
      </c>
      <c r="H112" s="18">
        <v>7728.43</v>
      </c>
      <c r="I112" s="19">
        <v>30.576000000000001</v>
      </c>
    </row>
    <row r="113" spans="1:9" ht="25.5" x14ac:dyDescent="0.25">
      <c r="A113" s="21" t="s">
        <v>81</v>
      </c>
      <c r="B113" s="21" t="s">
        <v>52</v>
      </c>
      <c r="C113" s="21" t="s">
        <v>71</v>
      </c>
      <c r="D113" s="21">
        <v>1</v>
      </c>
      <c r="E113" s="21">
        <v>43</v>
      </c>
      <c r="F113" s="21">
        <v>0.1</v>
      </c>
      <c r="G113" s="21" t="s">
        <v>87</v>
      </c>
      <c r="H113" s="22">
        <v>7751.97</v>
      </c>
      <c r="I113" s="23">
        <v>30.234000000000002</v>
      </c>
    </row>
    <row r="114" spans="1:9" ht="25.5" x14ac:dyDescent="0.25">
      <c r="A114" s="17" t="s">
        <v>81</v>
      </c>
      <c r="B114" s="17" t="s">
        <v>52</v>
      </c>
      <c r="C114" s="17" t="s">
        <v>71</v>
      </c>
      <c r="D114" s="17">
        <v>2</v>
      </c>
      <c r="E114" s="17">
        <v>44</v>
      </c>
      <c r="F114" s="17">
        <v>0.1</v>
      </c>
      <c r="G114" s="17" t="s">
        <v>87</v>
      </c>
      <c r="H114" s="18">
        <v>7713.12</v>
      </c>
      <c r="I114" s="19">
        <v>30.178999999999998</v>
      </c>
    </row>
    <row r="115" spans="1:9" ht="25.5" x14ac:dyDescent="0.25">
      <c r="A115" s="21" t="s">
        <v>81</v>
      </c>
      <c r="B115" s="21" t="s">
        <v>52</v>
      </c>
      <c r="C115" s="21" t="s">
        <v>71</v>
      </c>
      <c r="D115" s="21">
        <v>3</v>
      </c>
      <c r="E115" s="21">
        <v>45</v>
      </c>
      <c r="F115" s="21">
        <v>0.1</v>
      </c>
      <c r="G115" s="21" t="s">
        <v>87</v>
      </c>
      <c r="H115" s="22">
        <v>7745.9</v>
      </c>
      <c r="I115" s="23">
        <v>30.222999999999999</v>
      </c>
    </row>
    <row r="116" spans="1:9" ht="25.5" x14ac:dyDescent="0.25">
      <c r="A116" s="17" t="s">
        <v>81</v>
      </c>
      <c r="B116" s="17" t="s">
        <v>52</v>
      </c>
      <c r="C116" s="17" t="s">
        <v>71</v>
      </c>
      <c r="D116" s="17">
        <v>4</v>
      </c>
      <c r="E116" s="17">
        <v>46</v>
      </c>
      <c r="F116" s="17">
        <v>0.1</v>
      </c>
      <c r="G116" s="17" t="s">
        <v>87</v>
      </c>
      <c r="H116" s="18">
        <v>7757.5</v>
      </c>
      <c r="I116" s="19">
        <v>30.04</v>
      </c>
    </row>
    <row r="117" spans="1:9" ht="25.5" x14ac:dyDescent="0.25">
      <c r="A117" s="21" t="s">
        <v>81</v>
      </c>
      <c r="B117" s="21" t="s">
        <v>52</v>
      </c>
      <c r="C117" s="21" t="s">
        <v>88</v>
      </c>
      <c r="D117" s="21">
        <v>0</v>
      </c>
      <c r="E117" s="21">
        <v>42</v>
      </c>
      <c r="F117" s="21">
        <v>0.9</v>
      </c>
      <c r="G117" s="21">
        <v>10</v>
      </c>
      <c r="H117" s="22">
        <v>7653.24</v>
      </c>
      <c r="I117" s="23">
        <v>30.03</v>
      </c>
    </row>
    <row r="118" spans="1:9" ht="25.5" x14ac:dyDescent="0.25">
      <c r="A118" s="17" t="s">
        <v>81</v>
      </c>
      <c r="B118" s="17" t="s">
        <v>52</v>
      </c>
      <c r="C118" s="17" t="s">
        <v>88</v>
      </c>
      <c r="D118" s="17">
        <v>1</v>
      </c>
      <c r="E118" s="17">
        <v>43</v>
      </c>
      <c r="F118" s="17">
        <v>0.9</v>
      </c>
      <c r="G118" s="17">
        <v>10</v>
      </c>
      <c r="H118" s="18">
        <v>7666.5</v>
      </c>
      <c r="I118" s="19">
        <v>30.009</v>
      </c>
    </row>
    <row r="119" spans="1:9" ht="25.5" x14ac:dyDescent="0.25">
      <c r="A119" s="21" t="s">
        <v>81</v>
      </c>
      <c r="B119" s="21" t="s">
        <v>52</v>
      </c>
      <c r="C119" s="21" t="s">
        <v>88</v>
      </c>
      <c r="D119" s="21">
        <v>2</v>
      </c>
      <c r="E119" s="21">
        <v>44</v>
      </c>
      <c r="F119" s="21">
        <v>0.9</v>
      </c>
      <c r="G119" s="21">
        <v>10</v>
      </c>
      <c r="H119" s="22">
        <v>7711.79</v>
      </c>
      <c r="I119" s="23">
        <v>30.007999999999999</v>
      </c>
    </row>
    <row r="120" spans="1:9" ht="25.5" x14ac:dyDescent="0.25">
      <c r="A120" s="17" t="s">
        <v>81</v>
      </c>
      <c r="B120" s="17" t="s">
        <v>52</v>
      </c>
      <c r="C120" s="17" t="s">
        <v>88</v>
      </c>
      <c r="D120" s="17">
        <v>3</v>
      </c>
      <c r="E120" s="17">
        <v>45</v>
      </c>
      <c r="F120" s="17">
        <v>0.9</v>
      </c>
      <c r="G120" s="17">
        <v>10</v>
      </c>
      <c r="H120" s="18">
        <v>7728.4</v>
      </c>
      <c r="I120" s="19">
        <v>30.013000000000002</v>
      </c>
    </row>
    <row r="121" spans="1:9" ht="25.5" x14ac:dyDescent="0.25">
      <c r="A121" s="21" t="s">
        <v>81</v>
      </c>
      <c r="B121" s="21" t="s">
        <v>52</v>
      </c>
      <c r="C121" s="21" t="s">
        <v>88</v>
      </c>
      <c r="D121" s="21">
        <v>4</v>
      </c>
      <c r="E121" s="21">
        <v>46</v>
      </c>
      <c r="F121" s="21">
        <v>0.9</v>
      </c>
      <c r="G121" s="21">
        <v>10</v>
      </c>
      <c r="H121" s="22">
        <v>7691.31</v>
      </c>
      <c r="I121" s="23">
        <v>30.035</v>
      </c>
    </row>
    <row r="122" spans="1:9" ht="25.5" x14ac:dyDescent="0.25">
      <c r="A122" s="17" t="s">
        <v>82</v>
      </c>
      <c r="B122" s="17" t="s">
        <v>52</v>
      </c>
      <c r="C122" s="17" t="s">
        <v>71</v>
      </c>
      <c r="D122" s="17">
        <v>0</v>
      </c>
      <c r="E122" s="17">
        <v>42</v>
      </c>
      <c r="F122" s="17">
        <v>0.1</v>
      </c>
      <c r="G122" s="17" t="s">
        <v>87</v>
      </c>
      <c r="H122" s="18">
        <v>7692.77</v>
      </c>
      <c r="I122" s="19">
        <v>30.018000000000001</v>
      </c>
    </row>
    <row r="123" spans="1:9" ht="25.5" x14ac:dyDescent="0.25">
      <c r="A123" s="21" t="s">
        <v>82</v>
      </c>
      <c r="B123" s="21" t="s">
        <v>52</v>
      </c>
      <c r="C123" s="21" t="s">
        <v>71</v>
      </c>
      <c r="D123" s="21">
        <v>1</v>
      </c>
      <c r="E123" s="21">
        <v>43</v>
      </c>
      <c r="F123" s="21">
        <v>0.1</v>
      </c>
      <c r="G123" s="21" t="s">
        <v>87</v>
      </c>
      <c r="H123" s="22">
        <v>7756.16</v>
      </c>
      <c r="I123" s="23">
        <v>30.123999999999999</v>
      </c>
    </row>
    <row r="124" spans="1:9" ht="25.5" x14ac:dyDescent="0.25">
      <c r="A124" s="17" t="s">
        <v>82</v>
      </c>
      <c r="B124" s="17" t="s">
        <v>52</v>
      </c>
      <c r="C124" s="17" t="s">
        <v>71</v>
      </c>
      <c r="D124" s="17">
        <v>2</v>
      </c>
      <c r="E124" s="17">
        <v>44</v>
      </c>
      <c r="F124" s="17">
        <v>0.1</v>
      </c>
      <c r="G124" s="17" t="s">
        <v>87</v>
      </c>
      <c r="H124" s="18">
        <v>7716.6</v>
      </c>
      <c r="I124" s="19">
        <v>30.262</v>
      </c>
    </row>
    <row r="125" spans="1:9" ht="25.5" x14ac:dyDescent="0.25">
      <c r="A125" s="21" t="s">
        <v>82</v>
      </c>
      <c r="B125" s="21" t="s">
        <v>52</v>
      </c>
      <c r="C125" s="21" t="s">
        <v>71</v>
      </c>
      <c r="D125" s="21">
        <v>3</v>
      </c>
      <c r="E125" s="21">
        <v>45</v>
      </c>
      <c r="F125" s="21">
        <v>0.1</v>
      </c>
      <c r="G125" s="21" t="s">
        <v>87</v>
      </c>
      <c r="H125" s="22">
        <v>7751.45</v>
      </c>
      <c r="I125" s="23">
        <v>30.794</v>
      </c>
    </row>
    <row r="126" spans="1:9" ht="25.5" x14ac:dyDescent="0.25">
      <c r="A126" s="17" t="s">
        <v>82</v>
      </c>
      <c r="B126" s="17" t="s">
        <v>52</v>
      </c>
      <c r="C126" s="17" t="s">
        <v>71</v>
      </c>
      <c r="D126" s="17">
        <v>4</v>
      </c>
      <c r="E126" s="17">
        <v>46</v>
      </c>
      <c r="F126" s="17">
        <v>0.1</v>
      </c>
      <c r="G126" s="17" t="s">
        <v>87</v>
      </c>
      <c r="H126" s="18">
        <v>7698.19</v>
      </c>
      <c r="I126" s="19">
        <v>30.440999999999999</v>
      </c>
    </row>
    <row r="127" spans="1:9" ht="25.5" x14ac:dyDescent="0.25">
      <c r="A127" s="21" t="s">
        <v>82</v>
      </c>
      <c r="B127" s="21" t="s">
        <v>52</v>
      </c>
      <c r="C127" s="21" t="s">
        <v>88</v>
      </c>
      <c r="D127" s="21">
        <v>0</v>
      </c>
      <c r="E127" s="21">
        <v>42</v>
      </c>
      <c r="F127" s="21">
        <v>0.9</v>
      </c>
      <c r="G127" s="21">
        <v>10</v>
      </c>
      <c r="H127" s="22">
        <v>7704.12</v>
      </c>
      <c r="I127" s="23">
        <v>30.013999999999999</v>
      </c>
    </row>
    <row r="128" spans="1:9" ht="25.5" x14ac:dyDescent="0.25">
      <c r="A128" s="17" t="s">
        <v>82</v>
      </c>
      <c r="B128" s="17" t="s">
        <v>52</v>
      </c>
      <c r="C128" s="17" t="s">
        <v>88</v>
      </c>
      <c r="D128" s="17">
        <v>1</v>
      </c>
      <c r="E128" s="17">
        <v>43</v>
      </c>
      <c r="F128" s="17">
        <v>0.9</v>
      </c>
      <c r="G128" s="17">
        <v>10</v>
      </c>
      <c r="H128" s="18">
        <v>7785.3</v>
      </c>
      <c r="I128" s="19">
        <v>30.033999999999999</v>
      </c>
    </row>
    <row r="129" spans="1:9" ht="25.5" x14ac:dyDescent="0.25">
      <c r="A129" s="21" t="s">
        <v>82</v>
      </c>
      <c r="B129" s="21" t="s">
        <v>52</v>
      </c>
      <c r="C129" s="21" t="s">
        <v>88</v>
      </c>
      <c r="D129" s="21">
        <v>2</v>
      </c>
      <c r="E129" s="21">
        <v>44</v>
      </c>
      <c r="F129" s="21">
        <v>0.9</v>
      </c>
      <c r="G129" s="21">
        <v>10</v>
      </c>
      <c r="H129" s="22">
        <v>7686.11</v>
      </c>
      <c r="I129" s="23">
        <v>30.021000000000001</v>
      </c>
    </row>
    <row r="130" spans="1:9" ht="25.5" x14ac:dyDescent="0.25">
      <c r="A130" s="17" t="s">
        <v>82</v>
      </c>
      <c r="B130" s="17" t="s">
        <v>52</v>
      </c>
      <c r="C130" s="17" t="s">
        <v>88</v>
      </c>
      <c r="D130" s="17">
        <v>3</v>
      </c>
      <c r="E130" s="17">
        <v>45</v>
      </c>
      <c r="F130" s="17">
        <v>0.9</v>
      </c>
      <c r="G130" s="17">
        <v>10</v>
      </c>
      <c r="H130" s="18">
        <v>7633.16</v>
      </c>
      <c r="I130" s="19">
        <v>30.027999999999999</v>
      </c>
    </row>
    <row r="131" spans="1:9" ht="25.5" x14ac:dyDescent="0.25">
      <c r="A131" s="21" t="s">
        <v>82</v>
      </c>
      <c r="B131" s="21" t="s">
        <v>52</v>
      </c>
      <c r="C131" s="21" t="s">
        <v>88</v>
      </c>
      <c r="D131" s="21">
        <v>4</v>
      </c>
      <c r="E131" s="21">
        <v>46</v>
      </c>
      <c r="F131" s="21">
        <v>0.9</v>
      </c>
      <c r="G131" s="21">
        <v>10</v>
      </c>
      <c r="H131" s="22">
        <v>7713.06</v>
      </c>
      <c r="I131" s="23">
        <v>30.029</v>
      </c>
    </row>
    <row r="132" spans="1:9" ht="25.5" x14ac:dyDescent="0.25">
      <c r="A132" s="17" t="s">
        <v>83</v>
      </c>
      <c r="B132" s="17" t="s">
        <v>52</v>
      </c>
      <c r="C132" s="17" t="s">
        <v>71</v>
      </c>
      <c r="D132" s="17">
        <v>0</v>
      </c>
      <c r="E132" s="17">
        <v>42</v>
      </c>
      <c r="F132" s="17">
        <v>0.1</v>
      </c>
      <c r="G132" s="17" t="s">
        <v>87</v>
      </c>
      <c r="H132" s="18">
        <v>7729.01</v>
      </c>
      <c r="I132" s="19">
        <v>30.378</v>
      </c>
    </row>
    <row r="133" spans="1:9" ht="25.5" x14ac:dyDescent="0.25">
      <c r="A133" s="21" t="s">
        <v>83</v>
      </c>
      <c r="B133" s="21" t="s">
        <v>52</v>
      </c>
      <c r="C133" s="21" t="s">
        <v>71</v>
      </c>
      <c r="D133" s="21">
        <v>1</v>
      </c>
      <c r="E133" s="21">
        <v>43</v>
      </c>
      <c r="F133" s="21">
        <v>0.1</v>
      </c>
      <c r="G133" s="21" t="s">
        <v>87</v>
      </c>
      <c r="H133" s="22">
        <v>7675</v>
      </c>
      <c r="I133" s="23">
        <v>30.021999999999998</v>
      </c>
    </row>
    <row r="134" spans="1:9" ht="25.5" x14ac:dyDescent="0.25">
      <c r="A134" s="17" t="s">
        <v>83</v>
      </c>
      <c r="B134" s="17" t="s">
        <v>52</v>
      </c>
      <c r="C134" s="17" t="s">
        <v>71</v>
      </c>
      <c r="D134" s="17">
        <v>2</v>
      </c>
      <c r="E134" s="17">
        <v>44</v>
      </c>
      <c r="F134" s="17">
        <v>0.1</v>
      </c>
      <c r="G134" s="17" t="s">
        <v>87</v>
      </c>
      <c r="H134" s="18">
        <v>7703.79</v>
      </c>
      <c r="I134" s="19">
        <v>30.974</v>
      </c>
    </row>
    <row r="135" spans="1:9" ht="25.5" x14ac:dyDescent="0.25">
      <c r="A135" s="21" t="s">
        <v>83</v>
      </c>
      <c r="B135" s="21" t="s">
        <v>52</v>
      </c>
      <c r="C135" s="21" t="s">
        <v>71</v>
      </c>
      <c r="D135" s="21">
        <v>3</v>
      </c>
      <c r="E135" s="21">
        <v>45</v>
      </c>
      <c r="F135" s="21">
        <v>0.1</v>
      </c>
      <c r="G135" s="21" t="s">
        <v>87</v>
      </c>
      <c r="H135" s="22">
        <v>7711.83</v>
      </c>
      <c r="I135" s="23">
        <v>30.343</v>
      </c>
    </row>
    <row r="136" spans="1:9" ht="25.5" x14ac:dyDescent="0.25">
      <c r="A136" s="17" t="s">
        <v>83</v>
      </c>
      <c r="B136" s="17" t="s">
        <v>52</v>
      </c>
      <c r="C136" s="17" t="s">
        <v>71</v>
      </c>
      <c r="D136" s="17">
        <v>4</v>
      </c>
      <c r="E136" s="17">
        <v>46</v>
      </c>
      <c r="F136" s="17">
        <v>0.1</v>
      </c>
      <c r="G136" s="17" t="s">
        <v>87</v>
      </c>
      <c r="H136" s="18">
        <v>7692.84</v>
      </c>
      <c r="I136" s="19">
        <v>30.007999999999999</v>
      </c>
    </row>
    <row r="137" spans="1:9" ht="25.5" x14ac:dyDescent="0.25">
      <c r="A137" s="21" t="s">
        <v>83</v>
      </c>
      <c r="B137" s="21" t="s">
        <v>52</v>
      </c>
      <c r="C137" s="21" t="s">
        <v>88</v>
      </c>
      <c r="D137" s="21">
        <v>0</v>
      </c>
      <c r="E137" s="21">
        <v>42</v>
      </c>
      <c r="F137" s="21">
        <v>0.9</v>
      </c>
      <c r="G137" s="21">
        <v>10</v>
      </c>
      <c r="H137" s="22">
        <v>7645.06</v>
      </c>
      <c r="I137" s="23">
        <v>30.036999999999999</v>
      </c>
    </row>
    <row r="138" spans="1:9" ht="25.5" x14ac:dyDescent="0.25">
      <c r="A138" s="17" t="s">
        <v>83</v>
      </c>
      <c r="B138" s="17" t="s">
        <v>52</v>
      </c>
      <c r="C138" s="17" t="s">
        <v>88</v>
      </c>
      <c r="D138" s="17">
        <v>1</v>
      </c>
      <c r="E138" s="17">
        <v>43</v>
      </c>
      <c r="F138" s="17">
        <v>0.9</v>
      </c>
      <c r="G138" s="17">
        <v>10</v>
      </c>
      <c r="H138" s="18">
        <v>7722.68</v>
      </c>
      <c r="I138" s="19">
        <v>30.036999999999999</v>
      </c>
    </row>
    <row r="139" spans="1:9" ht="25.5" x14ac:dyDescent="0.25">
      <c r="A139" s="21" t="s">
        <v>83</v>
      </c>
      <c r="B139" s="21" t="s">
        <v>52</v>
      </c>
      <c r="C139" s="21" t="s">
        <v>88</v>
      </c>
      <c r="D139" s="21">
        <v>2</v>
      </c>
      <c r="E139" s="21">
        <v>44</v>
      </c>
      <c r="F139" s="21">
        <v>0.9</v>
      </c>
      <c r="G139" s="21">
        <v>10</v>
      </c>
      <c r="H139" s="22">
        <v>7674.26</v>
      </c>
      <c r="I139" s="23">
        <v>30.004999999999999</v>
      </c>
    </row>
    <row r="140" spans="1:9" ht="25.5" x14ac:dyDescent="0.25">
      <c r="A140" s="17" t="s">
        <v>83</v>
      </c>
      <c r="B140" s="17" t="s">
        <v>52</v>
      </c>
      <c r="C140" s="17" t="s">
        <v>88</v>
      </c>
      <c r="D140" s="17">
        <v>3</v>
      </c>
      <c r="E140" s="17">
        <v>45</v>
      </c>
      <c r="F140" s="17">
        <v>0.9</v>
      </c>
      <c r="G140" s="17">
        <v>10</v>
      </c>
      <c r="H140" s="18">
        <v>7683.91</v>
      </c>
      <c r="I140" s="19">
        <v>30.007999999999999</v>
      </c>
    </row>
    <row r="141" spans="1:9" ht="25.5" x14ac:dyDescent="0.25">
      <c r="A141" s="21" t="s">
        <v>83</v>
      </c>
      <c r="B141" s="21" t="s">
        <v>52</v>
      </c>
      <c r="C141" s="21" t="s">
        <v>88</v>
      </c>
      <c r="D141" s="21">
        <v>4</v>
      </c>
      <c r="E141" s="21">
        <v>46</v>
      </c>
      <c r="F141" s="21">
        <v>0.9</v>
      </c>
      <c r="G141" s="21">
        <v>10</v>
      </c>
      <c r="H141" s="22">
        <v>7662.77</v>
      </c>
      <c r="I141" s="23">
        <v>30.045000000000002</v>
      </c>
    </row>
    <row r="142" spans="1:9" ht="25.5" x14ac:dyDescent="0.25">
      <c r="A142" s="17" t="s">
        <v>84</v>
      </c>
      <c r="B142" s="17" t="s">
        <v>52</v>
      </c>
      <c r="C142" s="17" t="s">
        <v>71</v>
      </c>
      <c r="D142" s="17">
        <v>0</v>
      </c>
      <c r="E142" s="17">
        <v>42</v>
      </c>
      <c r="F142" s="17">
        <v>0.1</v>
      </c>
      <c r="G142" s="17" t="s">
        <v>87</v>
      </c>
      <c r="H142" s="18">
        <v>7718.59</v>
      </c>
      <c r="I142" s="19">
        <v>30.050999999999998</v>
      </c>
    </row>
    <row r="143" spans="1:9" ht="25.5" x14ac:dyDescent="0.25">
      <c r="A143" s="21" t="s">
        <v>84</v>
      </c>
      <c r="B143" s="21" t="s">
        <v>52</v>
      </c>
      <c r="C143" s="21" t="s">
        <v>71</v>
      </c>
      <c r="D143" s="21">
        <v>1</v>
      </c>
      <c r="E143" s="21">
        <v>43</v>
      </c>
      <c r="F143" s="21">
        <v>0.1</v>
      </c>
      <c r="G143" s="21" t="s">
        <v>87</v>
      </c>
      <c r="H143" s="22">
        <v>7686.64</v>
      </c>
      <c r="I143" s="23">
        <v>30.260999999999999</v>
      </c>
    </row>
    <row r="144" spans="1:9" ht="25.5" x14ac:dyDescent="0.25">
      <c r="A144" s="17" t="s">
        <v>84</v>
      </c>
      <c r="B144" s="17" t="s">
        <v>52</v>
      </c>
      <c r="C144" s="17" t="s">
        <v>71</v>
      </c>
      <c r="D144" s="17">
        <v>2</v>
      </c>
      <c r="E144" s="17">
        <v>44</v>
      </c>
      <c r="F144" s="17">
        <v>0.1</v>
      </c>
      <c r="G144" s="17" t="s">
        <v>87</v>
      </c>
      <c r="H144" s="18">
        <v>7680.04</v>
      </c>
      <c r="I144" s="19">
        <v>30.077000000000002</v>
      </c>
    </row>
    <row r="145" spans="1:9" ht="25.5" x14ac:dyDescent="0.25">
      <c r="A145" s="21" t="s">
        <v>84</v>
      </c>
      <c r="B145" s="21" t="s">
        <v>52</v>
      </c>
      <c r="C145" s="21" t="s">
        <v>71</v>
      </c>
      <c r="D145" s="21">
        <v>3</v>
      </c>
      <c r="E145" s="21">
        <v>45</v>
      </c>
      <c r="F145" s="21">
        <v>0.1</v>
      </c>
      <c r="G145" s="21" t="s">
        <v>87</v>
      </c>
      <c r="H145" s="22">
        <v>7672.84</v>
      </c>
      <c r="I145" s="23">
        <v>31.145</v>
      </c>
    </row>
    <row r="146" spans="1:9" ht="25.5" x14ac:dyDescent="0.25">
      <c r="A146" s="17" t="s">
        <v>84</v>
      </c>
      <c r="B146" s="17" t="s">
        <v>52</v>
      </c>
      <c r="C146" s="17" t="s">
        <v>71</v>
      </c>
      <c r="D146" s="17">
        <v>4</v>
      </c>
      <c r="E146" s="17">
        <v>46</v>
      </c>
      <c r="F146" s="17">
        <v>0.1</v>
      </c>
      <c r="G146" s="17" t="s">
        <v>87</v>
      </c>
      <c r="H146" s="18">
        <v>7681.94</v>
      </c>
      <c r="I146" s="19">
        <v>30.527999999999999</v>
      </c>
    </row>
    <row r="147" spans="1:9" ht="25.5" x14ac:dyDescent="0.25">
      <c r="A147" s="21" t="s">
        <v>84</v>
      </c>
      <c r="B147" s="21" t="s">
        <v>52</v>
      </c>
      <c r="C147" s="21" t="s">
        <v>88</v>
      </c>
      <c r="D147" s="21">
        <v>0</v>
      </c>
      <c r="E147" s="21">
        <v>42</v>
      </c>
      <c r="F147" s="21">
        <v>0.9</v>
      </c>
      <c r="G147" s="21">
        <v>10</v>
      </c>
      <c r="H147" s="22">
        <v>7676.7</v>
      </c>
      <c r="I147" s="23">
        <v>30.03</v>
      </c>
    </row>
    <row r="148" spans="1:9" ht="25.5" x14ac:dyDescent="0.25">
      <c r="A148" s="17" t="s">
        <v>84</v>
      </c>
      <c r="B148" s="17" t="s">
        <v>52</v>
      </c>
      <c r="C148" s="17" t="s">
        <v>88</v>
      </c>
      <c r="D148" s="17">
        <v>1</v>
      </c>
      <c r="E148" s="17">
        <v>43</v>
      </c>
      <c r="F148" s="17">
        <v>0.9</v>
      </c>
      <c r="G148" s="17">
        <v>10</v>
      </c>
      <c r="H148" s="18">
        <v>7645.63</v>
      </c>
      <c r="I148" s="19">
        <v>30.026</v>
      </c>
    </row>
    <row r="149" spans="1:9" ht="25.5" x14ac:dyDescent="0.25">
      <c r="A149" s="21" t="s">
        <v>84</v>
      </c>
      <c r="B149" s="21" t="s">
        <v>52</v>
      </c>
      <c r="C149" s="21" t="s">
        <v>88</v>
      </c>
      <c r="D149" s="21">
        <v>2</v>
      </c>
      <c r="E149" s="21">
        <v>44</v>
      </c>
      <c r="F149" s="21">
        <v>0.9</v>
      </c>
      <c r="G149" s="21">
        <v>10</v>
      </c>
      <c r="H149" s="22">
        <v>7686.17</v>
      </c>
      <c r="I149" s="23">
        <v>30.015999999999998</v>
      </c>
    </row>
    <row r="150" spans="1:9" ht="25.5" x14ac:dyDescent="0.25">
      <c r="A150" s="17" t="s">
        <v>84</v>
      </c>
      <c r="B150" s="17" t="s">
        <v>52</v>
      </c>
      <c r="C150" s="17" t="s">
        <v>88</v>
      </c>
      <c r="D150" s="17">
        <v>3</v>
      </c>
      <c r="E150" s="17">
        <v>45</v>
      </c>
      <c r="F150" s="17">
        <v>0.9</v>
      </c>
      <c r="G150" s="17">
        <v>10</v>
      </c>
      <c r="H150" s="18">
        <v>7677.12</v>
      </c>
      <c r="I150" s="19">
        <v>30.03</v>
      </c>
    </row>
    <row r="151" spans="1:9" ht="25.5" x14ac:dyDescent="0.25">
      <c r="A151" s="21" t="s">
        <v>84</v>
      </c>
      <c r="B151" s="21" t="s">
        <v>52</v>
      </c>
      <c r="C151" s="21" t="s">
        <v>88</v>
      </c>
      <c r="D151" s="21">
        <v>4</v>
      </c>
      <c r="E151" s="21">
        <v>46</v>
      </c>
      <c r="F151" s="21">
        <v>0.9</v>
      </c>
      <c r="G151" s="21">
        <v>10</v>
      </c>
      <c r="H151" s="22">
        <v>7605.82</v>
      </c>
      <c r="I151" s="23">
        <v>30.024000000000001</v>
      </c>
    </row>
    <row r="153" spans="1:9" ht="15" customHeight="1" x14ac:dyDescent="0.25"/>
    <row r="154" spans="1:9" ht="15" customHeight="1" x14ac:dyDescent="0.25"/>
    <row r="155" spans="1:9" ht="15" customHeight="1" x14ac:dyDescent="0.25"/>
    <row r="156" spans="1:9" ht="15" customHeight="1" x14ac:dyDescent="0.25"/>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2"/>
  <sheetViews>
    <sheetView showGridLines="0" topLeftCell="A3" zoomScale="115" zoomScaleNormal="115" workbookViewId="0">
      <selection sqref="A1:I1"/>
    </sheetView>
  </sheetViews>
  <sheetFormatPr baseColWidth="10" defaultColWidth="8.7109375" defaultRowHeight="15" x14ac:dyDescent="0.25"/>
  <cols>
    <col min="1" max="1" width="28" customWidth="1"/>
    <col min="2" max="2" width="10" customWidth="1"/>
    <col min="3" max="3" width="14" customWidth="1"/>
    <col min="4" max="5" width="12" customWidth="1"/>
    <col min="6" max="6" width="14" customWidth="1"/>
    <col min="7" max="8" width="16" customWidth="1"/>
    <col min="9" max="9" width="40" customWidth="1"/>
  </cols>
  <sheetData>
    <row r="1" spans="1:9" ht="27.75" customHeight="1" x14ac:dyDescent="0.25">
      <c r="A1" s="2" t="s">
        <v>89</v>
      </c>
      <c r="B1" s="2"/>
      <c r="C1" s="2"/>
      <c r="D1" s="2"/>
      <c r="E1" s="2"/>
      <c r="F1" s="2"/>
      <c r="G1" s="2"/>
      <c r="H1" s="2"/>
      <c r="I1" s="2"/>
    </row>
    <row r="3" spans="1:9" ht="21.75" customHeight="1" x14ac:dyDescent="0.25">
      <c r="A3" s="1" t="s">
        <v>90</v>
      </c>
      <c r="B3" s="1"/>
      <c r="C3" s="1"/>
      <c r="D3" s="1"/>
      <c r="E3" s="1"/>
      <c r="F3" s="1"/>
      <c r="G3" s="1"/>
      <c r="H3" s="1"/>
      <c r="I3" s="1"/>
    </row>
    <row r="4" spans="1:9" ht="25.5" x14ac:dyDescent="0.25">
      <c r="A4" s="16" t="s">
        <v>36</v>
      </c>
      <c r="B4" s="16" t="s">
        <v>91</v>
      </c>
      <c r="C4" s="16" t="s">
        <v>92</v>
      </c>
      <c r="D4" s="16" t="s">
        <v>93</v>
      </c>
      <c r="E4" s="16" t="s">
        <v>94</v>
      </c>
      <c r="F4" s="16" t="s">
        <v>95</v>
      </c>
      <c r="G4" s="16" t="s">
        <v>96</v>
      </c>
      <c r="H4" s="16" t="s">
        <v>97</v>
      </c>
      <c r="I4" s="16" t="s">
        <v>34</v>
      </c>
    </row>
    <row r="5" spans="1:9" ht="25.5" x14ac:dyDescent="0.25">
      <c r="A5" s="36" t="s">
        <v>98</v>
      </c>
      <c r="B5" s="21">
        <v>75</v>
      </c>
      <c r="C5" s="21">
        <v>30</v>
      </c>
      <c r="D5" s="21">
        <v>15</v>
      </c>
      <c r="E5" s="21">
        <v>30</v>
      </c>
      <c r="F5" s="37">
        <v>-15.0763</v>
      </c>
      <c r="G5" s="21">
        <v>256</v>
      </c>
      <c r="H5" s="38">
        <v>2.6280000000000001E-3</v>
      </c>
      <c r="I5" s="39" t="s">
        <v>99</v>
      </c>
    </row>
    <row r="6" spans="1:9" ht="25.5" x14ac:dyDescent="0.25">
      <c r="A6" s="40" t="s">
        <v>100</v>
      </c>
      <c r="B6" s="17">
        <v>30</v>
      </c>
      <c r="C6" s="17">
        <v>0</v>
      </c>
      <c r="D6" s="17">
        <v>0</v>
      </c>
      <c r="E6" s="17">
        <v>30</v>
      </c>
      <c r="F6" s="41">
        <v>0</v>
      </c>
      <c r="G6" s="17" t="s">
        <v>87</v>
      </c>
      <c r="H6" s="17" t="s">
        <v>87</v>
      </c>
      <c r="I6" s="42" t="s">
        <v>101</v>
      </c>
    </row>
    <row r="7" spans="1:9" ht="25.5" x14ac:dyDescent="0.25">
      <c r="A7" s="36" t="s">
        <v>102</v>
      </c>
      <c r="B7" s="21">
        <v>45</v>
      </c>
      <c r="C7" s="21">
        <v>30</v>
      </c>
      <c r="D7" s="21">
        <v>15</v>
      </c>
      <c r="E7" s="21">
        <v>0</v>
      </c>
      <c r="F7" s="37">
        <v>-25.127099999999999</v>
      </c>
      <c r="G7" s="21">
        <v>256</v>
      </c>
      <c r="H7" s="38">
        <v>2.6280000000000001E-3</v>
      </c>
      <c r="I7" s="39" t="s">
        <v>99</v>
      </c>
    </row>
    <row r="9" spans="1:9" ht="21.75" customHeight="1" x14ac:dyDescent="0.25">
      <c r="A9" s="50" t="s">
        <v>103</v>
      </c>
      <c r="B9" s="50"/>
      <c r="C9" s="50"/>
      <c r="D9" s="50"/>
      <c r="E9" s="50"/>
      <c r="F9" s="50"/>
      <c r="G9" s="50"/>
      <c r="H9" s="50"/>
      <c r="I9" s="50"/>
    </row>
    <row r="10" spans="1:9" ht="25.5" x14ac:dyDescent="0.25">
      <c r="A10" s="43" t="s">
        <v>37</v>
      </c>
      <c r="B10" s="43" t="s">
        <v>36</v>
      </c>
      <c r="C10" s="43" t="s">
        <v>66</v>
      </c>
      <c r="D10" s="43" t="s">
        <v>104</v>
      </c>
      <c r="E10" s="43" t="s">
        <v>105</v>
      </c>
      <c r="F10" s="43" t="s">
        <v>106</v>
      </c>
      <c r="G10" s="43" t="s">
        <v>107</v>
      </c>
      <c r="H10" s="43" t="s">
        <v>108</v>
      </c>
      <c r="I10" s="43" t="s">
        <v>109</v>
      </c>
    </row>
    <row r="11" spans="1:9" x14ac:dyDescent="0.25">
      <c r="A11" s="21" t="s">
        <v>46</v>
      </c>
      <c r="B11" s="21" t="s">
        <v>45</v>
      </c>
      <c r="C11" s="22">
        <v>360.15</v>
      </c>
      <c r="D11" s="22">
        <v>360.15</v>
      </c>
      <c r="E11" s="22">
        <v>360.15</v>
      </c>
      <c r="F11" s="44">
        <v>0</v>
      </c>
      <c r="G11" s="45" t="s">
        <v>110</v>
      </c>
      <c r="H11" s="45" t="s">
        <v>110</v>
      </c>
      <c r="I11" s="42" t="s">
        <v>111</v>
      </c>
    </row>
    <row r="12" spans="1:9" x14ac:dyDescent="0.25">
      <c r="A12" s="17" t="s">
        <v>47</v>
      </c>
      <c r="B12" s="17" t="s">
        <v>45</v>
      </c>
      <c r="C12" s="18">
        <v>355.72</v>
      </c>
      <c r="D12" s="18">
        <v>355.72</v>
      </c>
      <c r="E12" s="18">
        <v>355.72</v>
      </c>
      <c r="F12" s="44">
        <v>0</v>
      </c>
      <c r="G12" s="45" t="s">
        <v>110</v>
      </c>
      <c r="H12" s="45" t="s">
        <v>110</v>
      </c>
      <c r="I12" s="42" t="s">
        <v>111</v>
      </c>
    </row>
    <row r="13" spans="1:9" x14ac:dyDescent="0.25">
      <c r="A13" s="21" t="s">
        <v>48</v>
      </c>
      <c r="B13" s="21" t="s">
        <v>45</v>
      </c>
      <c r="C13" s="22">
        <v>355.5</v>
      </c>
      <c r="D13" s="22">
        <v>355.5</v>
      </c>
      <c r="E13" s="22">
        <v>355.5</v>
      </c>
      <c r="F13" s="44">
        <v>0</v>
      </c>
      <c r="G13" s="45" t="s">
        <v>110</v>
      </c>
      <c r="H13" s="45" t="s">
        <v>110</v>
      </c>
      <c r="I13" s="42" t="s">
        <v>111</v>
      </c>
    </row>
    <row r="14" spans="1:9" x14ac:dyDescent="0.25">
      <c r="A14" s="17" t="s">
        <v>49</v>
      </c>
      <c r="B14" s="17" t="s">
        <v>45</v>
      </c>
      <c r="C14" s="18">
        <v>354.25</v>
      </c>
      <c r="D14" s="18">
        <v>354.25</v>
      </c>
      <c r="E14" s="18">
        <v>354.25</v>
      </c>
      <c r="F14" s="44">
        <v>0</v>
      </c>
      <c r="G14" s="45" t="s">
        <v>110</v>
      </c>
      <c r="H14" s="45" t="s">
        <v>110</v>
      </c>
      <c r="I14" s="42" t="s">
        <v>111</v>
      </c>
    </row>
    <row r="15" spans="1:9" x14ac:dyDescent="0.25">
      <c r="A15" s="21" t="s">
        <v>50</v>
      </c>
      <c r="B15" s="21" t="s">
        <v>45</v>
      </c>
      <c r="C15" s="22">
        <v>356.06</v>
      </c>
      <c r="D15" s="22">
        <v>356.06</v>
      </c>
      <c r="E15" s="22">
        <v>356.06</v>
      </c>
      <c r="F15" s="44">
        <v>0</v>
      </c>
      <c r="G15" s="45" t="s">
        <v>110</v>
      </c>
      <c r="H15" s="45" t="s">
        <v>110</v>
      </c>
      <c r="I15" s="42" t="s">
        <v>111</v>
      </c>
    </row>
    <row r="16" spans="1:9" x14ac:dyDescent="0.25">
      <c r="A16" s="17" t="s">
        <v>78</v>
      </c>
      <c r="B16" s="17" t="s">
        <v>45</v>
      </c>
      <c r="C16" s="18">
        <v>349.31</v>
      </c>
      <c r="D16" s="18">
        <v>349.31</v>
      </c>
      <c r="E16" s="18">
        <v>349.31</v>
      </c>
      <c r="F16" s="44">
        <v>0</v>
      </c>
      <c r="G16" s="45" t="s">
        <v>110</v>
      </c>
      <c r="H16" s="45" t="s">
        <v>110</v>
      </c>
      <c r="I16" s="42" t="s">
        <v>111</v>
      </c>
    </row>
    <row r="17" spans="1:9" x14ac:dyDescent="0.25">
      <c r="A17" s="21" t="s">
        <v>53</v>
      </c>
      <c r="B17" s="21" t="s">
        <v>52</v>
      </c>
      <c r="C17" s="22">
        <v>7756.24</v>
      </c>
      <c r="D17" s="22">
        <v>7722.22</v>
      </c>
      <c r="E17" s="22">
        <v>7756.24</v>
      </c>
      <c r="F17" s="46">
        <v>34.019999999999499</v>
      </c>
      <c r="G17" s="21" t="s">
        <v>112</v>
      </c>
      <c r="H17" s="45" t="s">
        <v>110</v>
      </c>
      <c r="I17" s="47" t="s">
        <v>113</v>
      </c>
    </row>
    <row r="18" spans="1:9" x14ac:dyDescent="0.25">
      <c r="A18" s="17" t="s">
        <v>54</v>
      </c>
      <c r="B18" s="17" t="s">
        <v>52</v>
      </c>
      <c r="C18" s="18">
        <v>7755.23</v>
      </c>
      <c r="D18" s="18">
        <v>7746</v>
      </c>
      <c r="E18" s="18">
        <v>7755.23</v>
      </c>
      <c r="F18" s="46">
        <v>9.2299999999995599</v>
      </c>
      <c r="G18" s="17" t="s">
        <v>112</v>
      </c>
      <c r="H18" s="45" t="s">
        <v>110</v>
      </c>
      <c r="I18" s="47" t="s">
        <v>113</v>
      </c>
    </row>
    <row r="19" spans="1:9" x14ac:dyDescent="0.25">
      <c r="A19" s="21" t="s">
        <v>55</v>
      </c>
      <c r="B19" s="21" t="s">
        <v>52</v>
      </c>
      <c r="C19" s="22">
        <v>7752.31</v>
      </c>
      <c r="D19" s="22">
        <v>7752.31</v>
      </c>
      <c r="E19" s="22">
        <v>7726.58</v>
      </c>
      <c r="F19" s="48">
        <v>-25.730000000000501</v>
      </c>
      <c r="G19" s="45" t="s">
        <v>110</v>
      </c>
      <c r="H19" s="21" t="s">
        <v>112</v>
      </c>
      <c r="I19" s="39" t="s">
        <v>114</v>
      </c>
    </row>
    <row r="20" spans="1:9" x14ac:dyDescent="0.25">
      <c r="A20" s="17" t="s">
        <v>56</v>
      </c>
      <c r="B20" s="17" t="s">
        <v>52</v>
      </c>
      <c r="C20" s="18">
        <v>7755.2</v>
      </c>
      <c r="D20" s="18">
        <v>7749.4</v>
      </c>
      <c r="E20" s="18">
        <v>7755.2</v>
      </c>
      <c r="F20" s="46">
        <v>5.8000000000001801</v>
      </c>
      <c r="G20" s="17" t="s">
        <v>112</v>
      </c>
      <c r="H20" s="45" t="s">
        <v>110</v>
      </c>
      <c r="I20" s="47" t="s">
        <v>113</v>
      </c>
    </row>
    <row r="21" spans="1:9" x14ac:dyDescent="0.25">
      <c r="A21" s="21" t="s">
        <v>57</v>
      </c>
      <c r="B21" s="21" t="s">
        <v>52</v>
      </c>
      <c r="C21" s="22">
        <v>7780.22</v>
      </c>
      <c r="D21" s="22">
        <v>7748.34</v>
      </c>
      <c r="E21" s="22">
        <v>7780.22</v>
      </c>
      <c r="F21" s="46">
        <v>31.880000000000098</v>
      </c>
      <c r="G21" s="21" t="s">
        <v>112</v>
      </c>
      <c r="H21" s="45" t="s">
        <v>110</v>
      </c>
      <c r="I21" s="47" t="s">
        <v>113</v>
      </c>
    </row>
    <row r="22" spans="1:9" x14ac:dyDescent="0.25">
      <c r="A22" s="17" t="s">
        <v>81</v>
      </c>
      <c r="B22" s="17" t="s">
        <v>52</v>
      </c>
      <c r="C22" s="18">
        <v>7757.5</v>
      </c>
      <c r="D22" s="18">
        <v>7757.5</v>
      </c>
      <c r="E22" s="18">
        <v>7728.4</v>
      </c>
      <c r="F22" s="48">
        <v>-29.100000000000399</v>
      </c>
      <c r="G22" s="45" t="s">
        <v>110</v>
      </c>
      <c r="H22" s="17" t="s">
        <v>112</v>
      </c>
      <c r="I22" s="39" t="s">
        <v>114</v>
      </c>
    </row>
    <row r="23" spans="1:9" x14ac:dyDescent="0.25">
      <c r="A23" s="21" t="s">
        <v>82</v>
      </c>
      <c r="B23" s="21" t="s">
        <v>52</v>
      </c>
      <c r="C23" s="22">
        <v>7785.3</v>
      </c>
      <c r="D23" s="22">
        <v>7756.16</v>
      </c>
      <c r="E23" s="22">
        <v>7785.3</v>
      </c>
      <c r="F23" s="46">
        <v>29.140000000000299</v>
      </c>
      <c r="G23" s="21" t="s">
        <v>112</v>
      </c>
      <c r="H23" s="45" t="s">
        <v>110</v>
      </c>
      <c r="I23" s="47" t="s">
        <v>113</v>
      </c>
    </row>
    <row r="24" spans="1:9" x14ac:dyDescent="0.25">
      <c r="A24" s="17" t="s">
        <v>83</v>
      </c>
      <c r="B24" s="17" t="s">
        <v>52</v>
      </c>
      <c r="C24" s="18">
        <v>7729.01</v>
      </c>
      <c r="D24" s="18">
        <v>7729.01</v>
      </c>
      <c r="E24" s="18">
        <v>7722.68</v>
      </c>
      <c r="F24" s="48">
        <v>-6.3299999999999299</v>
      </c>
      <c r="G24" s="45" t="s">
        <v>110</v>
      </c>
      <c r="H24" s="17" t="s">
        <v>112</v>
      </c>
      <c r="I24" s="39" t="s">
        <v>114</v>
      </c>
    </row>
    <row r="25" spans="1:9" x14ac:dyDescent="0.25">
      <c r="A25" s="21" t="s">
        <v>84</v>
      </c>
      <c r="B25" s="21" t="s">
        <v>52</v>
      </c>
      <c r="C25" s="22">
        <v>7718.59</v>
      </c>
      <c r="D25" s="22">
        <v>7718.59</v>
      </c>
      <c r="E25" s="22">
        <v>7686.17</v>
      </c>
      <c r="F25" s="48">
        <v>-32.420000000000101</v>
      </c>
      <c r="G25" s="45" t="s">
        <v>110</v>
      </c>
      <c r="H25" s="21" t="s">
        <v>112</v>
      </c>
      <c r="I25" s="39" t="s">
        <v>114</v>
      </c>
    </row>
    <row r="26" spans="1:9" ht="15" customHeight="1" x14ac:dyDescent="0.25">
      <c r="A26" s="7" t="s">
        <v>115</v>
      </c>
      <c r="B26" s="7"/>
      <c r="C26" s="7"/>
      <c r="D26" s="31">
        <f>MAX(D11:D25)</f>
        <v>7757.5</v>
      </c>
      <c r="E26" s="31">
        <f>MAX(E11:E25)</f>
        <v>7785.3</v>
      </c>
      <c r="F26" s="32">
        <f>AVERAGE(F11:F25)</f>
        <v>1.0993333333332473</v>
      </c>
      <c r="G26" s="49">
        <f>COUNTIF(G11:G25,"Sí ✓")</f>
        <v>10</v>
      </c>
      <c r="H26" s="49">
        <f>COUNTIF(H11:H25,"Sí ✓")</f>
        <v>11</v>
      </c>
    </row>
    <row r="28" spans="1:9" ht="15" customHeight="1" x14ac:dyDescent="0.25">
      <c r="A28" s="11" t="s">
        <v>116</v>
      </c>
      <c r="B28" s="11"/>
      <c r="C28" s="11"/>
      <c r="D28" s="11"/>
      <c r="E28" s="11"/>
      <c r="F28" s="11"/>
      <c r="G28" s="11"/>
      <c r="H28" s="11"/>
      <c r="I28" s="11"/>
    </row>
    <row r="29" spans="1:9" ht="39.75" customHeight="1" x14ac:dyDescent="0.25">
      <c r="A29" s="51" t="s">
        <v>117</v>
      </c>
      <c r="B29" s="51"/>
      <c r="C29" s="51"/>
      <c r="D29" s="51"/>
      <c r="E29" s="51"/>
      <c r="F29" s="51"/>
      <c r="G29" s="51"/>
      <c r="H29" s="51"/>
      <c r="I29" s="51"/>
    </row>
    <row r="30" spans="1:9" ht="39.75" customHeight="1" x14ac:dyDescent="0.25">
      <c r="A30" s="52" t="s">
        <v>118</v>
      </c>
      <c r="B30" s="52"/>
      <c r="C30" s="52"/>
      <c r="D30" s="52"/>
      <c r="E30" s="52"/>
      <c r="F30" s="52"/>
      <c r="G30" s="52"/>
      <c r="H30" s="52"/>
      <c r="I30" s="52"/>
    </row>
    <row r="31" spans="1:9" ht="39.75" customHeight="1" x14ac:dyDescent="0.25">
      <c r="A31" s="51" t="s">
        <v>119</v>
      </c>
      <c r="B31" s="51"/>
      <c r="C31" s="51"/>
      <c r="D31" s="51"/>
      <c r="E31" s="51"/>
      <c r="F31" s="51"/>
      <c r="G31" s="51"/>
      <c r="H31" s="51"/>
      <c r="I31" s="51"/>
    </row>
    <row r="32" spans="1:9" ht="39.75" customHeight="1" x14ac:dyDescent="0.25">
      <c r="A32" s="52" t="s">
        <v>120</v>
      </c>
      <c r="B32" s="52"/>
      <c r="C32" s="52"/>
      <c r="D32" s="52"/>
      <c r="E32" s="52"/>
      <c r="F32" s="52"/>
      <c r="G32" s="52"/>
      <c r="H32" s="52"/>
      <c r="I32" s="52"/>
    </row>
  </sheetData>
  <mergeCells count="9">
    <mergeCell ref="A29:I29"/>
    <mergeCell ref="A30:I30"/>
    <mergeCell ref="A31:I31"/>
    <mergeCell ref="A32:I32"/>
    <mergeCell ref="A1:I1"/>
    <mergeCell ref="A3:I3"/>
    <mergeCell ref="A9:I9"/>
    <mergeCell ref="A26:C26"/>
    <mergeCell ref="A28:I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0_Resumen</vt:lpstr>
      <vt:lpstr>1_Calibracion_GRASP</vt:lpstr>
      <vt:lpstr>2_Calib_GRASP_Runs</vt:lpstr>
      <vt:lpstr>3_Calibracion_GRASP+TS</vt:lpstr>
      <vt:lpstr>4_Calib_GRASP+TS_Runs</vt:lpstr>
      <vt:lpstr>5_Comparacion</vt:lpstr>
      <vt:lpstr>6_Comparacion_Runs</vt:lpstr>
      <vt:lpstr>7_Tests_Estadisticos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CARLOS G S</cp:lastModifiedBy>
  <cp:revision>0</cp:revision>
  <dcterms:created xsi:type="dcterms:W3CDTF">2026-04-07T18:39:30Z</dcterms:created>
  <dcterms:modified xsi:type="dcterms:W3CDTF">2026-04-08T08:34:58Z</dcterms:modified>
  <dc:language>en-US</dc:language>
</cp:coreProperties>
</file>